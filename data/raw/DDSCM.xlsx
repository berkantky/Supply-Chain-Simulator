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0" yWindow="-110" windowWidth="34620" windowHeight="13900" tabRatio="600" firstSheet="0" activeTab="0" autoFilterDateGrouping="1"/>
  </bookViews>
  <sheets>
    <sheet name="Pufferzonen" sheetId="1" state="visible" r:id="rId1"/>
    <sheet name="Pacemaker" sheetId="2" state="visible" r:id="rId2"/>
    <sheet name="ABC und XYZ Analyse" sheetId="3" state="visible" r:id="rId3"/>
    <sheet name="Length of a pitch" sheetId="4" state="visible" r:id="rId4"/>
    <sheet name="Nr of Kanbans" sheetId="5" state="visible" r:id="rId5"/>
    <sheet name="Tabelle1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#,##0.00\ &quot;€&quot;"/>
    <numFmt numFmtId="165" formatCode="0.0"/>
    <numFmt numFmtId="166" formatCode="_-* #,##0_-;\-* #,##0_-;_-* &quot;-&quot;??_-;_-@_-"/>
    <numFmt numFmtId="167" formatCode="0.000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Segoe UI"/>
      <family val="2"/>
      <color theme="1"/>
      <sz val="10"/>
    </font>
    <font>
      <name val="Inherit"/>
      <sz val="10"/>
    </font>
    <font>
      <name val="Aptos Narrow"/>
      <family val="2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b val="1"/>
      <color theme="1"/>
      <sz val="11"/>
      <vertAlign val="superscript"/>
      <scheme val="minor"/>
    </font>
    <font>
      <name val="Aptos Narrow"/>
      <family val="2"/>
      <b val="1"/>
      <color theme="1"/>
      <sz val="11"/>
      <vertAlign val="subscript"/>
      <scheme val="minor"/>
    </font>
    <font>
      <name val="Aptos Narrow"/>
      <family val="2"/>
      <sz val="8"/>
      <scheme val="minor"/>
    </font>
    <font>
      <name val="Aptos"/>
      <color rgb="FF000000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C6EFCE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2" fillId="0" borderId="0"/>
    <xf numFmtId="9" fontId="2" fillId="0" borderId="0"/>
    <xf numFmtId="43" fontId="2" fillId="0" borderId="0"/>
    <xf numFmtId="0" fontId="2" fillId="4" borderId="0"/>
    <xf numFmtId="0" fontId="9" fillId="6" borderId="0"/>
    <xf numFmtId="0" fontId="2" fillId="7" borderId="0"/>
  </cellStyleXfs>
  <cellXfs count="23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1" fillId="0" borderId="1" pivotButton="0" quotePrefix="0" xfId="0"/>
    <xf numFmtId="10" fontId="0" fillId="0" borderId="1" pivotButton="0" quotePrefix="0" xfId="1"/>
    <xf numFmtId="10" fontId="0" fillId="0" borderId="3" pivotButton="0" quotePrefix="0" xfId="1"/>
    <xf numFmtId="0" fontId="1" fillId="0" borderId="10" applyAlignment="1" pivotButton="0" quotePrefix="0" xfId="0">
      <alignment horizontal="center"/>
    </xf>
    <xf numFmtId="0" fontId="1" fillId="0" borderId="4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0" fillId="0" borderId="14" applyAlignment="1" pivotButton="0" quotePrefix="0" xfId="0">
      <alignment horizontal="center"/>
    </xf>
    <xf numFmtId="0" fontId="0" fillId="0" borderId="11" pivotButton="0" quotePrefix="0" xfId="0"/>
    <xf numFmtId="0" fontId="0" fillId="2" borderId="1" pivotButton="0" quotePrefix="0" xfId="0"/>
    <xf numFmtId="0" fontId="0" fillId="2" borderId="11" pivotButton="0" quotePrefix="0" xfId="0"/>
    <xf numFmtId="0" fontId="3" fillId="0" borderId="1" pivotButton="0" quotePrefix="0" xfId="0"/>
    <xf numFmtId="10" fontId="0" fillId="2" borderId="1" pivotButton="0" quotePrefix="0" xfId="1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2" fontId="0" fillId="0" borderId="1" pivotButton="0" quotePrefix="0" xfId="1"/>
    <xf numFmtId="0" fontId="4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0" fontId="0" fillId="0" borderId="0" pivotButton="0" quotePrefix="0" xfId="1"/>
    <xf numFmtId="164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2" pivotButton="0" quotePrefix="0" xfId="0"/>
    <xf numFmtId="0" fontId="1" fillId="3" borderId="19" applyAlignment="1" pivotButton="0" quotePrefix="0" xfId="0">
      <alignment vertical="center" wrapText="1"/>
    </xf>
    <xf numFmtId="0" fontId="1" fillId="3" borderId="20" applyAlignment="1" pivotButton="0" quotePrefix="0" xfId="0">
      <alignment vertical="center" wrapText="1"/>
    </xf>
    <xf numFmtId="2" fontId="6" fillId="0" borderId="0" pivotButton="0" quotePrefix="0" xfId="0"/>
    <xf numFmtId="2" fontId="0" fillId="0" borderId="0" pivotButton="0" quotePrefix="0" xfId="0"/>
    <xf numFmtId="0" fontId="8" fillId="2" borderId="1" pivotButton="0" quotePrefix="0" xfId="0"/>
    <xf numFmtId="2" fontId="0" fillId="0" borderId="1" pivotButton="0" quotePrefix="0" xfId="0"/>
    <xf numFmtId="2" fontId="0" fillId="2" borderId="1" pivotButton="0" quotePrefix="0" xfId="0"/>
    <xf numFmtId="0" fontId="1" fillId="0" borderId="4" pivotButton="0" quotePrefix="0" xfId="0"/>
    <xf numFmtId="0" fontId="0" fillId="0" borderId="4" pivotButton="0" quotePrefix="0" xfId="0"/>
    <xf numFmtId="0" fontId="0" fillId="0" borderId="22" applyAlignment="1" pivotButton="0" quotePrefix="0" xfId="0">
      <alignment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0" borderId="10" pivotButton="0" quotePrefix="0" xfId="0"/>
    <xf numFmtId="0" fontId="1" fillId="0" borderId="8" pivotButton="0" quotePrefix="0" xfId="0"/>
    <xf numFmtId="165" fontId="0" fillId="0" borderId="16" applyAlignment="1" pivotButton="0" quotePrefix="0" xfId="0">
      <alignment horizontal="center"/>
    </xf>
    <xf numFmtId="165" fontId="0" fillId="0" borderId="18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/>
    </xf>
    <xf numFmtId="165" fontId="0" fillId="0" borderId="15" applyAlignment="1" pivotButton="0" quotePrefix="0" xfId="0">
      <alignment horizontal="center" vertical="center" wrapText="1"/>
    </xf>
    <xf numFmtId="165" fontId="7" fillId="0" borderId="15" applyAlignment="1" pivotButton="0" quotePrefix="0" xfId="0">
      <alignment horizontal="center"/>
    </xf>
    <xf numFmtId="165" fontId="0" fillId="0" borderId="2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4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/>
    </xf>
    <xf numFmtId="10" fontId="0" fillId="0" borderId="11" applyAlignment="1" pivotButton="0" quotePrefix="0" xfId="1">
      <alignment horizontal="center"/>
    </xf>
    <xf numFmtId="0" fontId="1" fillId="0" borderId="3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0" fontId="1" fillId="0" borderId="3" applyAlignment="1" pivotButton="0" quotePrefix="0" xfId="1">
      <alignment horizontal="center"/>
    </xf>
    <xf numFmtId="10" fontId="1" fillId="0" borderId="5" applyAlignment="1" pivotButton="0" quotePrefix="0" xfId="1">
      <alignment horizontal="center"/>
    </xf>
    <xf numFmtId="0" fontId="1" fillId="0" borderId="10" applyAlignment="1" pivotButton="0" quotePrefix="0" xfId="0">
      <alignment horizontal="center" vertical="center"/>
    </xf>
    <xf numFmtId="165" fontId="1" fillId="4" borderId="17" applyAlignment="1" pivotButton="0" quotePrefix="0" xfId="3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1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2">
      <alignment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166" fontId="0" fillId="0" borderId="0" pivotButton="0" quotePrefix="0" xfId="0"/>
    <xf numFmtId="1" fontId="0" fillId="0" borderId="11" pivotButton="0" quotePrefix="0" xfId="0"/>
    <xf numFmtId="0" fontId="0" fillId="0" borderId="2" applyAlignment="1" pivotButton="0" quotePrefix="0" xfId="0">
      <alignment horizontal="center" vertical="center" wrapText="1"/>
    </xf>
    <xf numFmtId="1" fontId="0" fillId="0" borderId="2" pivotButton="0" quotePrefix="0" xfId="0"/>
    <xf numFmtId="0" fontId="1" fillId="4" borderId="1" applyAlignment="1" pivotButton="0" quotePrefix="0" xfId="3">
      <alignment horizontal="center" vertical="center" wrapText="1"/>
    </xf>
    <xf numFmtId="0" fontId="1" fillId="4" borderId="1" applyAlignment="1" pivotButton="0" quotePrefix="0" xfId="3">
      <alignment horizontal="center" vertical="center"/>
    </xf>
    <xf numFmtId="0" fontId="1" fillId="4" borderId="1" applyAlignment="1" pivotButton="0" quotePrefix="0" xfId="3">
      <alignment vertical="center"/>
    </xf>
    <xf numFmtId="0" fontId="1" fillId="4" borderId="1" applyAlignment="1" pivotButton="0" quotePrefix="0" xfId="3">
      <alignment wrapText="1"/>
    </xf>
    <xf numFmtId="0" fontId="1" fillId="4" borderId="1" pivotButton="0" quotePrefix="0" xfId="3"/>
    <xf numFmtId="0" fontId="1" fillId="4" borderId="1" applyAlignment="1" pivotButton="0" quotePrefix="0" xfId="3">
      <alignment horizontal="center"/>
    </xf>
    <xf numFmtId="0" fontId="1" fillId="4" borderId="11" applyAlignment="1" pivotButton="0" quotePrefix="0" xfId="3">
      <alignment horizontal="center" vertical="center" wrapText="1"/>
    </xf>
    <xf numFmtId="0" fontId="6" fillId="6" borderId="1" pivotButton="0" quotePrefix="0" xfId="4"/>
    <xf numFmtId="0" fontId="1" fillId="4" borderId="1" applyAlignment="1" pivotButton="0" quotePrefix="0" xfId="3">
      <alignment vertical="center" wrapText="1"/>
    </xf>
    <xf numFmtId="0" fontId="0" fillId="0" borderId="24" pivotButton="0" quotePrefix="0" xfId="0"/>
    <xf numFmtId="0" fontId="1" fillId="4" borderId="25" applyAlignment="1" pivotButton="0" quotePrefix="0" xfId="3">
      <alignment horizontal="center" vertical="center" wrapText="1"/>
    </xf>
    <xf numFmtId="0" fontId="1" fillId="4" borderId="26" applyAlignment="1" pivotButton="0" quotePrefix="0" xfId="3">
      <alignment horizontal="center" vertical="center" wrapText="1"/>
    </xf>
    <xf numFmtId="0" fontId="1" fillId="4" borderId="27" applyAlignment="1" pivotButton="0" quotePrefix="0" xfId="3">
      <alignment horizontal="center" vertical="center" wrapText="1"/>
    </xf>
    <xf numFmtId="0" fontId="1" fillId="4" borderId="28" applyAlignment="1" pivotButton="0" quotePrefix="0" xfId="3">
      <alignment horizontal="center" vertical="center" wrapText="1"/>
    </xf>
    <xf numFmtId="0" fontId="1" fillId="4" borderId="29" applyAlignment="1" pivotButton="0" quotePrefix="0" xfId="3">
      <alignment horizontal="center" vertical="center" wrapText="1"/>
    </xf>
    <xf numFmtId="0" fontId="1" fillId="4" borderId="30" applyAlignment="1" pivotButton="0" quotePrefix="0" xfId="3">
      <alignment horizontal="center" vertical="center" wrapText="1"/>
    </xf>
    <xf numFmtId="0" fontId="1" fillId="4" borderId="31" applyAlignment="1" pivotButton="0" quotePrefix="0" xfId="3">
      <alignment horizontal="center" vertical="center" wrapText="1"/>
    </xf>
    <xf numFmtId="0" fontId="1" fillId="8" borderId="23" pivotButton="0" quotePrefix="0" xfId="0"/>
    <xf numFmtId="167" fontId="0" fillId="0" borderId="1" pivotButton="0" quotePrefix="0" xfId="0"/>
    <xf numFmtId="165" fontId="0" fillId="0" borderId="1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34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6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38" applyAlignment="1" pivotButton="0" quotePrefix="0" xfId="0">
      <alignment vertical="top"/>
    </xf>
    <xf numFmtId="2" fontId="0" fillId="0" borderId="1" applyAlignment="1" pivotButton="0" quotePrefix="0" xfId="0">
      <alignment horizontal="center"/>
    </xf>
    <xf numFmtId="10" fontId="0" fillId="0" borderId="4" applyAlignment="1" pivotButton="0" quotePrefix="0" xfId="1">
      <alignment horizontal="center"/>
    </xf>
    <xf numFmtId="10" fontId="0" fillId="0" borderId="3" applyAlignment="1" pivotButton="0" quotePrefix="0" xfId="1">
      <alignment horizontal="center"/>
    </xf>
    <xf numFmtId="2" fontId="0" fillId="0" borderId="1" applyAlignment="1" pivotButton="0" quotePrefix="0" xfId="0">
      <alignment horizontal="right"/>
    </xf>
    <xf numFmtId="0" fontId="1" fillId="4" borderId="1" applyAlignment="1" pivotButton="0" quotePrefix="0" xfId="3">
      <alignment horizontal="left" vertical="center"/>
    </xf>
    <xf numFmtId="0" fontId="1" fillId="4" borderId="12" applyAlignment="1" pivotButton="0" quotePrefix="0" xfId="3">
      <alignment vertical="center" wrapText="1"/>
    </xf>
    <xf numFmtId="0" fontId="2" fillId="7" borderId="1" pivotButton="0" quotePrefix="0" xfId="5"/>
    <xf numFmtId="9" fontId="0" fillId="0" borderId="1" pivotButton="0" quotePrefix="0" xfId="0"/>
    <xf numFmtId="0" fontId="1" fillId="4" borderId="11" applyAlignment="1" pivotButton="0" quotePrefix="0" xfId="3">
      <alignment horizontal="center"/>
    </xf>
    <xf numFmtId="0" fontId="1" fillId="4" borderId="13" applyAlignment="1" pivotButton="0" quotePrefix="0" xfId="3">
      <alignment horizontal="center"/>
    </xf>
    <xf numFmtId="0" fontId="1" fillId="4" borderId="14" applyAlignment="1" pivotButton="0" quotePrefix="0" xfId="3">
      <alignment horizontal="center"/>
    </xf>
    <xf numFmtId="0" fontId="0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2" fontId="0" fillId="9" borderId="1" pivotButton="0" quotePrefix="0" xfId="1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0" fillId="0" borderId="0" pivotButton="0" quotePrefix="0" xfId="0"/>
    <xf numFmtId="167" fontId="0" fillId="0" borderId="15" applyAlignment="1" pivotButton="0" quotePrefix="0" xfId="0">
      <alignment horizontal="center"/>
    </xf>
    <xf numFmtId="0" fontId="0" fillId="0" borderId="3" pivotButton="0" quotePrefix="0" xfId="0"/>
    <xf numFmtId="165" fontId="0" fillId="0" borderId="42" applyAlignment="1" pivotButton="0" quotePrefix="0" xfId="0">
      <alignment horizontal="center" vertical="center" wrapText="1"/>
    </xf>
    <xf numFmtId="165" fontId="0" fillId="0" borderId="42" applyAlignment="1" pivotButton="0" quotePrefix="0" xfId="0">
      <alignment horizontal="center"/>
    </xf>
    <xf numFmtId="165" fontId="0" fillId="0" borderId="4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1" fillId="4" borderId="43" applyAlignment="1" pivotButton="0" quotePrefix="0" xfId="3">
      <alignment horizontal="center" vertical="center" wrapText="1"/>
    </xf>
    <xf numFmtId="0" fontId="7" fillId="0" borderId="1" pivotButton="0" quotePrefix="0" xfId="0"/>
    <xf numFmtId="165" fontId="1" fillId="4" borderId="44" applyAlignment="1" pivotButton="0" quotePrefix="0" xfId="3">
      <alignment horizontal="center" vertical="center" wrapText="1"/>
    </xf>
    <xf numFmtId="0" fontId="0" fillId="0" borderId="0" pivotButton="0" quotePrefix="0" xfId="0"/>
    <xf numFmtId="165" fontId="0" fillId="0" borderId="47" applyAlignment="1" pivotButton="0" quotePrefix="0" xfId="0">
      <alignment horizontal="center" vertical="center" wrapText="1"/>
    </xf>
    <xf numFmtId="165" fontId="1" fillId="4" borderId="48" applyAlignment="1" pivotButton="0" quotePrefix="0" xfId="3">
      <alignment horizontal="center" vertical="center" wrapText="1"/>
    </xf>
    <xf numFmtId="165" fontId="1" fillId="4" borderId="49" applyAlignment="1" pivotButton="0" quotePrefix="0" xfId="3">
      <alignment horizontal="center" vertical="center" wrapText="1"/>
    </xf>
    <xf numFmtId="165" fontId="1" fillId="4" borderId="3" applyAlignment="1" pivotButton="0" quotePrefix="0" xfId="3">
      <alignment horizontal="center" vertical="center" wrapText="1"/>
    </xf>
    <xf numFmtId="165" fontId="1" fillId="4" borderId="5" applyAlignment="1" pivotButton="0" quotePrefix="0" xfId="3">
      <alignment horizontal="center" vertical="center" wrapText="1"/>
    </xf>
    <xf numFmtId="0" fontId="1" fillId="8" borderId="5" applyAlignment="1" pivotButton="0" quotePrefix="0" xfId="0">
      <alignment horizontal="center"/>
    </xf>
    <xf numFmtId="165" fontId="1" fillId="4" borderId="50" applyAlignment="1" pivotButton="0" quotePrefix="0" xfId="3">
      <alignment horizontal="center" vertical="center" wrapText="1"/>
    </xf>
    <xf numFmtId="165" fontId="1" fillId="4" borderId="51" applyAlignment="1" pivotButton="0" quotePrefix="0" xfId="3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1" fillId="3" borderId="52" applyAlignment="1" pivotButton="0" quotePrefix="0" xfId="0">
      <alignment vertical="center" wrapText="1"/>
    </xf>
    <xf numFmtId="0" fontId="1" fillId="4" borderId="48" applyAlignment="1" pivotButton="0" quotePrefix="0" xfId="3">
      <alignment horizontal="center" vertical="center" wrapText="1"/>
    </xf>
    <xf numFmtId="0" fontId="0" fillId="3" borderId="53" applyAlignment="1" pivotButton="0" quotePrefix="0" xfId="0">
      <alignment vertical="center" wrapText="1"/>
    </xf>
    <xf numFmtId="0" fontId="0" fillId="3" borderId="39" applyAlignment="1" pivotButton="0" quotePrefix="0" xfId="0">
      <alignment vertical="center" wrapText="1"/>
    </xf>
    <xf numFmtId="0" fontId="0" fillId="3" borderId="39" pivotButton="0" quotePrefix="0" xfId="0"/>
    <xf numFmtId="0" fontId="0" fillId="3" borderId="40" applyAlignment="1" pivotButton="0" quotePrefix="0" xfId="0">
      <alignment vertical="center" wrapText="1"/>
    </xf>
    <xf numFmtId="165" fontId="0" fillId="0" borderId="54" applyAlignment="1" pivotButton="0" quotePrefix="0" xfId="0">
      <alignment horizontal="center" vertical="center" wrapText="1"/>
    </xf>
    <xf numFmtId="165" fontId="0" fillId="0" borderId="55" applyAlignment="1" pivotButton="0" quotePrefix="0" xfId="0">
      <alignment horizontal="center" vertical="center" wrapText="1"/>
    </xf>
    <xf numFmtId="165" fontId="0" fillId="0" borderId="56" applyAlignment="1" pivotButton="0" quotePrefix="0" xfId="0">
      <alignment horizontal="center" vertical="center" wrapText="1"/>
    </xf>
    <xf numFmtId="165" fontId="0" fillId="0" borderId="57" applyAlignment="1" pivotButton="0" quotePrefix="0" xfId="0">
      <alignment horizontal="center" vertical="center" wrapText="1"/>
    </xf>
    <xf numFmtId="165" fontId="0" fillId="0" borderId="58" applyAlignment="1" pivotButton="0" quotePrefix="0" xfId="0">
      <alignment horizontal="center" vertical="center" wrapText="1"/>
    </xf>
    <xf numFmtId="165" fontId="0" fillId="0" borderId="46" applyAlignment="1" pivotButton="0" quotePrefix="0" xfId="0">
      <alignment horizontal="center"/>
    </xf>
    <xf numFmtId="165" fontId="0" fillId="0" borderId="59" applyAlignment="1" pivotButton="0" quotePrefix="0" xfId="0">
      <alignment horizontal="center"/>
    </xf>
    <xf numFmtId="165" fontId="0" fillId="0" borderId="47" applyAlignment="1" pivotButton="0" quotePrefix="0" xfId="0">
      <alignment horizontal="center"/>
    </xf>
    <xf numFmtId="165" fontId="0" fillId="0" borderId="60" applyAlignment="1" pivotButton="0" quotePrefix="0" xfId="0">
      <alignment horizontal="center" vertical="center" wrapText="1"/>
    </xf>
    <xf numFmtId="0" fontId="0" fillId="0" borderId="60" pivotButton="0" quotePrefix="0" xfId="0"/>
    <xf numFmtId="165" fontId="0" fillId="0" borderId="62" applyAlignment="1" pivotButton="0" quotePrefix="0" xfId="0">
      <alignment horizontal="center" vertical="center" wrapText="1"/>
    </xf>
    <xf numFmtId="165" fontId="0" fillId="0" borderId="63" applyAlignment="1" pivotButton="0" quotePrefix="0" xfId="0">
      <alignment horizontal="center" vertical="center" wrapText="1"/>
    </xf>
    <xf numFmtId="165" fontId="0" fillId="0" borderId="64" applyAlignment="1" pivotButton="0" quotePrefix="0" xfId="0">
      <alignment horizontal="center" vertical="center" wrapText="1"/>
    </xf>
    <xf numFmtId="165" fontId="0" fillId="0" borderId="60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/>
    </xf>
    <xf numFmtId="165" fontId="0" fillId="0" borderId="51" applyAlignment="1" pivotButton="0" quotePrefix="0" xfId="0">
      <alignment horizontal="center" vertical="center"/>
    </xf>
    <xf numFmtId="165" fontId="13" fillId="0" borderId="51" applyAlignment="1" pivotButton="0" quotePrefix="0" xfId="0">
      <alignment horizontal="center" vertical="center"/>
    </xf>
    <xf numFmtId="0" fontId="0" fillId="0" borderId="51" applyAlignment="1" pivotButton="0" quotePrefix="0" xfId="0">
      <alignment vertical="center"/>
    </xf>
    <xf numFmtId="165" fontId="0" fillId="0" borderId="61" applyAlignment="1" pivotButton="0" quotePrefix="0" xfId="0">
      <alignment horizontal="center" vertical="center"/>
    </xf>
    <xf numFmtId="165" fontId="1" fillId="4" borderId="61" applyAlignment="1" pivotButton="0" quotePrefix="0" xfId="3">
      <alignment horizontal="center" vertical="center" wrapText="1"/>
    </xf>
    <xf numFmtId="165" fontId="0" fillId="0" borderId="45" applyAlignment="1" pivotButton="0" quotePrefix="0" xfId="0">
      <alignment horizontal="center" vertical="center"/>
    </xf>
    <xf numFmtId="165" fontId="1" fillId="4" borderId="48" applyAlignment="1" pivotButton="0" quotePrefix="0" xfId="3">
      <alignment horizontal="center" vertical="center" wrapText="1"/>
    </xf>
    <xf numFmtId="165" fontId="1" fillId="4" borderId="49" applyAlignment="1" pivotButton="0" quotePrefix="0" xfId="3">
      <alignment horizontal="center" vertical="center" wrapText="1"/>
    </xf>
    <xf numFmtId="165" fontId="1" fillId="4" borderId="3" applyAlignment="1" pivotButton="0" quotePrefix="0" xfId="3">
      <alignment horizontal="center" vertical="center" wrapText="1"/>
    </xf>
    <xf numFmtId="165" fontId="1" fillId="4" borderId="5" applyAlignment="1" pivotButton="0" quotePrefix="0" xfId="3">
      <alignment horizontal="center" vertical="center" wrapText="1"/>
    </xf>
    <xf numFmtId="165" fontId="1" fillId="4" borderId="43" applyAlignment="1" pivotButton="0" quotePrefix="0" xfId="3">
      <alignment horizontal="center" vertical="center" wrapText="1"/>
    </xf>
    <xf numFmtId="165" fontId="1" fillId="4" borderId="50" applyAlignment="1" pivotButton="0" quotePrefix="0" xfId="3">
      <alignment horizontal="center" vertical="center" wrapText="1"/>
    </xf>
    <xf numFmtId="165" fontId="1" fillId="4" borderId="51" applyAlignment="1" pivotButton="0" quotePrefix="0" xfId="3">
      <alignment horizontal="center" vertical="center" wrapText="1"/>
    </xf>
    <xf numFmtId="165" fontId="1" fillId="4" borderId="61" applyAlignment="1" pivotButton="0" quotePrefix="0" xfId="3">
      <alignment horizontal="center" vertical="center" wrapText="1"/>
    </xf>
    <xf numFmtId="165" fontId="1" fillId="4" borderId="44" applyAlignment="1" pivotButton="0" quotePrefix="0" xfId="3">
      <alignment horizontal="center" vertical="center" wrapText="1"/>
    </xf>
    <xf numFmtId="165" fontId="1" fillId="4" borderId="17" applyAlignment="1" pivotButton="0" quotePrefix="0" xfId="3">
      <alignment horizontal="center" vertical="center" wrapText="1"/>
    </xf>
    <xf numFmtId="165" fontId="0" fillId="0" borderId="54" applyAlignment="1" pivotButton="0" quotePrefix="0" xfId="0">
      <alignment horizontal="center" vertical="center" wrapText="1"/>
    </xf>
    <xf numFmtId="165" fontId="0" fillId="0" borderId="51" applyAlignment="1" pivotButton="0" quotePrefix="0" xfId="0">
      <alignment horizontal="center" vertical="center"/>
    </xf>
    <xf numFmtId="165" fontId="13" fillId="0" borderId="51" applyAlignment="1" pivotButton="0" quotePrefix="0" xfId="0">
      <alignment horizontal="center" vertical="center"/>
    </xf>
    <xf numFmtId="165" fontId="0" fillId="0" borderId="61" applyAlignment="1" pivotButton="0" quotePrefix="0" xfId="0">
      <alignment horizontal="center" vertical="center"/>
    </xf>
    <xf numFmtId="165" fontId="0" fillId="0" borderId="45" applyAlignment="1" pivotButton="0" quotePrefix="0" xfId="0">
      <alignment horizontal="center" vertical="center"/>
    </xf>
    <xf numFmtId="165" fontId="0" fillId="0" borderId="16" applyAlignment="1" pivotButton="0" quotePrefix="0" xfId="0">
      <alignment horizontal="center"/>
    </xf>
    <xf numFmtId="165" fontId="0" fillId="0" borderId="57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165" fontId="0" fillId="0" borderId="46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165" fontId="0" fillId="0" borderId="58" applyAlignment="1" pivotButton="0" quotePrefix="0" xfId="0">
      <alignment horizontal="center" vertical="center" wrapText="1"/>
    </xf>
    <xf numFmtId="165" fontId="0" fillId="0" borderId="59" applyAlignment="1" pivotButton="0" quotePrefix="0" xfId="0">
      <alignment horizontal="center"/>
    </xf>
    <xf numFmtId="167" fontId="0" fillId="0" borderId="15" applyAlignment="1" pivotButton="0" quotePrefix="0" xfId="0">
      <alignment horizontal="center"/>
    </xf>
    <xf numFmtId="165" fontId="0" fillId="0" borderId="42" applyAlignment="1" pivotButton="0" quotePrefix="0" xfId="0">
      <alignment horizontal="center"/>
    </xf>
    <xf numFmtId="165" fontId="0" fillId="0" borderId="47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 wrapText="1"/>
    </xf>
    <xf numFmtId="165" fontId="0" fillId="0" borderId="60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60" applyAlignment="1" pivotButton="0" quotePrefix="0" xfId="0">
      <alignment horizontal="center" vertical="center"/>
    </xf>
    <xf numFmtId="165" fontId="0" fillId="0" borderId="15" applyAlignment="1" pivotButton="0" quotePrefix="0" xfId="0">
      <alignment horizontal="center" vertical="center"/>
    </xf>
    <xf numFmtId="165" fontId="0" fillId="0" borderId="41" applyAlignment="1" pivotButton="0" quotePrefix="0" xfId="0">
      <alignment horizontal="center" vertical="center" wrapText="1"/>
    </xf>
    <xf numFmtId="165" fontId="0" fillId="0" borderId="18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/>
    </xf>
    <xf numFmtId="165" fontId="7" fillId="0" borderId="15" applyAlignment="1" pivotButton="0" quotePrefix="0" xfId="0">
      <alignment horizontal="center"/>
    </xf>
    <xf numFmtId="165" fontId="0" fillId="0" borderId="42" applyAlignment="1" pivotButton="0" quotePrefix="0" xfId="0">
      <alignment horizontal="center" vertical="center" wrapText="1"/>
    </xf>
    <xf numFmtId="165" fontId="0" fillId="0" borderId="47" applyAlignment="1" pivotButton="0" quotePrefix="0" xfId="0">
      <alignment horizontal="center" vertical="center" wrapText="1"/>
    </xf>
    <xf numFmtId="165" fontId="0" fillId="0" borderId="55" applyAlignment="1" pivotButton="0" quotePrefix="0" xfId="0">
      <alignment horizontal="center" vertical="center" wrapText="1"/>
    </xf>
    <xf numFmtId="165" fontId="0" fillId="0" borderId="62" applyAlignment="1" pivotButton="0" quotePrefix="0" xfId="0">
      <alignment horizontal="center" vertical="center" wrapText="1"/>
    </xf>
    <xf numFmtId="165" fontId="0" fillId="0" borderId="63" applyAlignment="1" pivotButton="0" quotePrefix="0" xfId="0">
      <alignment horizontal="center" vertical="center" wrapText="1"/>
    </xf>
    <xf numFmtId="165" fontId="0" fillId="0" borderId="64" applyAlignment="1" pivotButton="0" quotePrefix="0" xfId="0">
      <alignment horizontal="center" vertical="center" wrapText="1"/>
    </xf>
    <xf numFmtId="165" fontId="0" fillId="0" borderId="56" applyAlignment="1" pivotButton="0" quotePrefix="0" xfId="0">
      <alignment horizontal="center" vertical="center" wrapText="1"/>
    </xf>
    <xf numFmtId="165" fontId="0" fillId="0" borderId="2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165" fontId="5" fillId="0" borderId="0" applyAlignment="1" pivotButton="0" quotePrefix="0" xfId="0">
      <alignment vertical="center"/>
    </xf>
    <xf numFmtId="166" fontId="0" fillId="0" borderId="0" pivotButton="0" quotePrefix="0" xfId="0"/>
    <xf numFmtId="166" fontId="0" fillId="0" borderId="1" applyAlignment="1" pivotButton="0" quotePrefix="0" xfId="2">
      <alignment vertical="center" wrapText="1"/>
    </xf>
    <xf numFmtId="167" fontId="0" fillId="0" borderId="1" pivotButton="0" quotePrefix="0" xfId="0"/>
  </cellXfs>
  <cellStyles count="6">
    <cellStyle name="Standard" xfId="0" builtinId="0"/>
    <cellStyle name="Prozent" xfId="1" builtinId="5"/>
    <cellStyle name="Komma" xfId="2" builtinId="3"/>
    <cellStyle name="20 % - Akzent1" xfId="3" builtinId="30"/>
    <cellStyle name="Gut" xfId="4" builtinId="26"/>
    <cellStyle name="40 % - Akzent1" xfId="5" builtinId="31"/>
  </cellStyles>
  <dxfs count="79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/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\ &quot;€&quot;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 outline="0">
        <bottom style="thin">
          <color auto="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7"/>
          <order val="0"/>
          <tx>
            <strRef>
              <f>Pufferzonen!$A$19:$B$19</f>
              <strCache>
                <ptCount val="2"/>
                <pt idx="0">
                  <v>Total Red Zone [pcs]</v>
                </pt>
                <pt idx="1">
                  <v>Red Zone Base + Red Zone Safety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FF0000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de-D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Pufferzonen!$C$2:$I$2</f>
              <strCache>
                <ptCount val="7"/>
                <pt idx="0">
                  <v>Wellenrohling</v>
                </pt>
                <pt idx="1">
                  <v>Aluminiumblock</v>
                </pt>
                <pt idx="2">
                  <v>Antiebswelle 5</v>
                </pt>
                <pt idx="3">
                  <v>Antiebswelle 6</v>
                </pt>
                <pt idx="4">
                  <v>Antiebswelle 7</v>
                </pt>
                <pt idx="5">
                  <v>Antiebswelle 8</v>
                </pt>
                <pt idx="6">
                  <v>Autogetriebe 5</v>
                </pt>
              </strCache>
            </strRef>
          </cat>
          <val>
            <numRef>
              <f>Pufferzonen!$C$19:$I$19</f>
              <numCache>
                <formatCode>0.0</formatCode>
                <ptCount val="7"/>
                <pt idx="0">
                  <v>214</v>
                </pt>
                <pt idx="1">
                  <v>303</v>
                </pt>
                <pt idx="2">
                  <v>40</v>
                </pt>
                <pt idx="3">
                  <v>42</v>
                </pt>
                <pt idx="4">
                  <v>24</v>
                </pt>
                <pt idx="5">
                  <v>3</v>
                </pt>
                <pt idx="6">
                  <v>23</v>
                </pt>
              </numCache>
            </numRef>
          </val>
        </ser>
        <ser>
          <idx val="8"/>
          <order val="1"/>
          <tx>
            <strRef>
              <f>Pufferzonen!$A$20:$B$20</f>
              <strCache>
                <ptCount val="2"/>
                <pt idx="0">
                  <v>Yellow Zone [pcs]</v>
                </pt>
                <pt idx="1">
                  <v>DLT x ADU</v>
                </pt>
              </strCache>
            </strRef>
          </tx>
          <spPr>
            <a:solidFill>
              <a:srgbClr val="FFFF00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FFFF00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de-D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Pufferzonen!$C$2:$I$2</f>
              <strCache>
                <ptCount val="7"/>
                <pt idx="0">
                  <v>Wellenrohling</v>
                </pt>
                <pt idx="1">
                  <v>Aluminiumblock</v>
                </pt>
                <pt idx="2">
                  <v>Antiebswelle 5</v>
                </pt>
                <pt idx="3">
                  <v>Antiebswelle 6</v>
                </pt>
                <pt idx="4">
                  <v>Antiebswelle 7</v>
                </pt>
                <pt idx="5">
                  <v>Antiebswelle 8</v>
                </pt>
                <pt idx="6">
                  <v>Autogetriebe 5</v>
                </pt>
              </strCache>
            </strRef>
          </cat>
          <val>
            <numRef>
              <f>Pufferzonen!$C$20:$I$20</f>
              <numCache>
                <formatCode>0.0</formatCode>
                <ptCount val="7"/>
                <pt idx="0">
                  <v>475</v>
                </pt>
                <pt idx="1">
                  <v>712</v>
                </pt>
                <pt idx="2">
                  <v>89</v>
                </pt>
                <pt idx="3">
                  <v>93</v>
                </pt>
                <pt idx="4">
                  <v>52</v>
                </pt>
                <pt idx="5">
                  <v>5</v>
                </pt>
                <pt idx="6">
                  <v>36</v>
                </pt>
              </numCache>
            </numRef>
          </val>
        </ser>
        <ser>
          <idx val="9"/>
          <order val="2"/>
          <tx>
            <strRef>
              <f>Pufferzonen!$A$16:$B$16</f>
              <strCache>
                <ptCount val="2"/>
                <pt idx="0">
                  <v>Green Zone [pcs]</v>
                </pt>
                <pt idx="1">
                  <v>MAX(Term1;Term2;Term3)</v>
                </pt>
              </strCache>
            </strRef>
          </tx>
          <spPr>
            <a:solidFill>
              <a:srgbClr val="92D050"/>
            </a:solidFill>
            <a:ln>
              <a:solidFill>
                <a:srgbClr val="B5E6A2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92D050"/>
              </a:solidFill>
              <a:ln>
                <a:solidFill>
                  <a:srgbClr val="B5E6A2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de-DE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Pufferzonen!$C$2:$I$2</f>
              <strCache>
                <ptCount val="7"/>
                <pt idx="0">
                  <v>Wellenrohling</v>
                </pt>
                <pt idx="1">
                  <v>Aluminiumblock</v>
                </pt>
                <pt idx="2">
                  <v>Antiebswelle 5</v>
                </pt>
                <pt idx="3">
                  <v>Antiebswelle 6</v>
                </pt>
                <pt idx="4">
                  <v>Antiebswelle 7</v>
                </pt>
                <pt idx="5">
                  <v>Antiebswelle 8</v>
                </pt>
                <pt idx="6">
                  <v>Autogetriebe 5</v>
                </pt>
              </strCache>
            </strRef>
          </cat>
          <val>
            <numRef>
              <f>Pufferzonen!$C$16:$I$16</f>
              <numCache>
                <formatCode>0.0</formatCode>
                <ptCount val="7"/>
                <pt idx="0">
                  <v>143</v>
                </pt>
                <pt idx="1">
                  <v>178</v>
                </pt>
                <pt idx="2">
                  <v>27</v>
                </pt>
                <pt idx="3">
                  <v>28</v>
                </pt>
                <pt idx="4">
                  <v>16</v>
                </pt>
                <pt idx="5">
                  <v>2</v>
                </pt>
                <pt idx="6">
                  <v>18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75"/>
        <overlap val="100"/>
        <axId val="614898592"/>
        <axId val="614892352"/>
      </barChart>
      <catAx>
        <axId val="6148985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614892352"/>
        <crosses val="autoZero"/>
        <auto val="1"/>
        <lblAlgn val="ctr"/>
        <lblOffset val="100"/>
        <noMultiLvlLbl val="0"/>
      </catAx>
      <valAx>
        <axId val="614892352"/>
        <scaling>
          <orientation val="minMax"/>
        </scaling>
        <delete val="0"/>
        <axPos val="l"/>
        <numFmt formatCode="0.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6148985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de-DE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Zeitverlust Gesamt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de-DE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'Length of a pitch'!$B$25</f>
              <strCache>
                <ptCount val="1"/>
                <pt idx="0">
                  <v>Zeitverlust Gesamt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'Length of a pitch'!$A$26:$A$97</f>
              <numCache>
                <formatCode>General</formatCode>
                <ptCount val="72"/>
                <pt idx="0">
                  <v>28</v>
                </pt>
                <pt idx="1">
                  <v>29</v>
                </pt>
                <pt idx="2">
                  <v>30</v>
                </pt>
                <pt idx="3">
                  <v>31</v>
                </pt>
                <pt idx="4">
                  <v>32</v>
                </pt>
                <pt idx="5">
                  <v>33</v>
                </pt>
                <pt idx="6">
                  <v>34</v>
                </pt>
                <pt idx="7">
                  <v>35</v>
                </pt>
                <pt idx="8">
                  <v>36</v>
                </pt>
                <pt idx="9">
                  <v>37</v>
                </pt>
                <pt idx="10">
                  <v>38</v>
                </pt>
                <pt idx="11">
                  <v>39</v>
                </pt>
                <pt idx="12">
                  <v>40</v>
                </pt>
                <pt idx="13">
                  <v>41</v>
                </pt>
                <pt idx="14">
                  <v>42</v>
                </pt>
                <pt idx="15">
                  <v>43</v>
                </pt>
                <pt idx="16">
                  <v>44</v>
                </pt>
                <pt idx="17">
                  <v>45</v>
                </pt>
                <pt idx="18">
                  <v>46</v>
                </pt>
                <pt idx="19">
                  <v>47</v>
                </pt>
                <pt idx="20">
                  <v>48</v>
                </pt>
                <pt idx="21">
                  <v>49</v>
                </pt>
                <pt idx="22">
                  <v>50</v>
                </pt>
                <pt idx="23">
                  <v>51</v>
                </pt>
                <pt idx="24">
                  <v>52</v>
                </pt>
                <pt idx="25">
                  <v>53</v>
                </pt>
                <pt idx="26">
                  <v>54</v>
                </pt>
                <pt idx="27">
                  <v>55</v>
                </pt>
                <pt idx="28">
                  <v>56</v>
                </pt>
                <pt idx="29">
                  <v>57</v>
                </pt>
                <pt idx="30">
                  <v>58</v>
                </pt>
                <pt idx="31">
                  <v>59</v>
                </pt>
                <pt idx="32">
                  <v>60</v>
                </pt>
                <pt idx="33">
                  <v>61</v>
                </pt>
                <pt idx="34">
                  <v>62</v>
                </pt>
                <pt idx="35">
                  <v>63</v>
                </pt>
                <pt idx="36">
                  <v>64</v>
                </pt>
                <pt idx="37">
                  <v>65</v>
                </pt>
                <pt idx="38">
                  <v>66</v>
                </pt>
                <pt idx="39">
                  <v>67</v>
                </pt>
                <pt idx="40">
                  <v>68</v>
                </pt>
                <pt idx="41">
                  <v>69</v>
                </pt>
                <pt idx="42">
                  <v>70</v>
                </pt>
                <pt idx="43">
                  <v>71</v>
                </pt>
                <pt idx="44">
                  <v>72</v>
                </pt>
                <pt idx="45">
                  <v>73</v>
                </pt>
                <pt idx="46">
                  <v>74</v>
                </pt>
                <pt idx="47">
                  <v>75</v>
                </pt>
                <pt idx="48">
                  <v>76</v>
                </pt>
                <pt idx="49">
                  <v>77</v>
                </pt>
                <pt idx="50">
                  <v>78</v>
                </pt>
                <pt idx="51">
                  <v>79</v>
                </pt>
                <pt idx="52">
                  <v>80</v>
                </pt>
                <pt idx="53">
                  <v>81</v>
                </pt>
                <pt idx="54">
                  <v>82</v>
                </pt>
                <pt idx="55">
                  <v>83</v>
                </pt>
                <pt idx="56">
                  <v>84</v>
                </pt>
                <pt idx="57">
                  <v>85</v>
                </pt>
                <pt idx="58">
                  <v>86</v>
                </pt>
                <pt idx="59">
                  <v>87</v>
                </pt>
                <pt idx="60">
                  <v>88</v>
                </pt>
                <pt idx="61">
                  <v>89</v>
                </pt>
                <pt idx="62">
                  <v>90</v>
                </pt>
                <pt idx="63">
                  <v>91</v>
                </pt>
                <pt idx="64">
                  <v>92</v>
                </pt>
                <pt idx="65">
                  <v>93</v>
                </pt>
                <pt idx="66">
                  <v>94</v>
                </pt>
                <pt idx="67">
                  <v>95</v>
                </pt>
                <pt idx="68">
                  <v>96</v>
                </pt>
                <pt idx="69">
                  <v>97</v>
                </pt>
                <pt idx="70">
                  <v>98</v>
                </pt>
                <pt idx="71">
                  <v>99</v>
                </pt>
              </numCache>
            </numRef>
          </cat>
          <val>
            <numRef>
              <f>'Length of a pitch'!$B$26:$B$97</f>
              <numCache>
                <formatCode>0</formatCode>
                <ptCount val="72"/>
                <pt idx="0">
                  <v>231</v>
                </pt>
                <pt idx="1">
                  <v>294</v>
                </pt>
                <pt idx="2">
                  <v>301</v>
                </pt>
                <pt idx="3">
                  <v>370</v>
                </pt>
                <pt idx="4">
                  <v>139</v>
                </pt>
                <pt idx="5">
                  <v>206</v>
                </pt>
                <pt idx="6">
                  <v>209</v>
                </pt>
                <pt idx="7">
                  <v>212</v>
                </pt>
                <pt idx="8">
                  <v>287</v>
                </pt>
                <pt idx="9">
                  <v>292</v>
                </pt>
                <pt idx="10">
                  <v>297</v>
                </pt>
                <pt idx="11">
                  <v>380</v>
                </pt>
                <pt idx="12">
                  <v>327</v>
                </pt>
                <pt idx="13">
                  <v>332</v>
                </pt>
                <pt idx="14">
                  <v>225</v>
                </pt>
                <pt idx="15">
                  <v>313</v>
                </pt>
                <pt idx="16">
                  <v>317</v>
                </pt>
                <pt idx="17">
                  <v>321</v>
                </pt>
                <pt idx="18">
                  <v>325</v>
                </pt>
                <pt idx="19">
                  <v>423</v>
                </pt>
                <pt idx="20">
                  <v>317</v>
                </pt>
                <pt idx="21">
                  <v>321</v>
                </pt>
                <pt idx="22">
                  <v>100</v>
                </pt>
                <pt idx="23">
                  <v>99</v>
                </pt>
                <pt idx="24">
                  <v>98</v>
                </pt>
                <pt idx="25">
                  <v>203</v>
                </pt>
                <pt idx="26">
                  <v>204</v>
                </pt>
                <pt idx="27">
                  <v>205</v>
                </pt>
                <pt idx="28">
                  <v>136</v>
                </pt>
                <pt idx="29">
                  <formatCode>General</formatCode>
                  <v>136</v>
                </pt>
                <pt idx="30">
                  <formatCode>General</formatCode>
                  <v>136</v>
                </pt>
                <pt idx="31">
                  <formatCode>General</formatCode>
                  <v>136</v>
                </pt>
                <pt idx="32">
                  <formatCode>General</formatCode>
                  <v>116</v>
                </pt>
                <pt idx="33">
                  <formatCode>General</formatCode>
                  <v>238</v>
                </pt>
                <pt idx="34">
                  <formatCode>General</formatCode>
                  <v>240</v>
                </pt>
                <pt idx="35">
                  <formatCode>General</formatCode>
                  <v>242</v>
                </pt>
                <pt idx="36">
                  <formatCode>General</formatCode>
                  <v>164</v>
                </pt>
                <pt idx="37">
                  <formatCode>General</formatCode>
                  <v>164</v>
                </pt>
                <pt idx="38">
                  <formatCode>General</formatCode>
                  <v>164</v>
                </pt>
                <pt idx="39">
                  <formatCode>General</formatCode>
                  <v>164</v>
                </pt>
                <pt idx="40">
                  <formatCode>General</formatCode>
                  <v>164</v>
                </pt>
                <pt idx="41">
                  <formatCode>General</formatCode>
                  <v>164</v>
                </pt>
                <pt idx="42">
                  <formatCode>General</formatCode>
                  <v>108</v>
                </pt>
                <pt idx="43">
                  <formatCode>General</formatCode>
                  <v>249</v>
                </pt>
                <pt idx="44">
                  <formatCode>General</formatCode>
                  <v>250</v>
                </pt>
                <pt idx="45">
                  <formatCode>General</formatCode>
                  <v>251</v>
                </pt>
                <pt idx="46">
                  <formatCode>General</formatCode>
                  <v>252</v>
                </pt>
                <pt idx="47">
                  <formatCode>General</formatCode>
                  <v>153</v>
                </pt>
                <pt idx="48">
                  <formatCode>General</formatCode>
                  <v>152</v>
                </pt>
                <pt idx="49">
                  <formatCode>General</formatCode>
                  <v>151</v>
                </pt>
                <pt idx="50">
                  <formatCode>General</formatCode>
                  <v>150</v>
                </pt>
                <pt idx="51">
                  <formatCode>General</formatCode>
                  <v>149</v>
                </pt>
                <pt idx="52">
                  <formatCode>General</formatCode>
                  <v>80</v>
                </pt>
                <pt idx="53">
                  <formatCode>General</formatCode>
                  <v>78</v>
                </pt>
                <pt idx="54">
                  <formatCode>General</formatCode>
                  <v>76</v>
                </pt>
                <pt idx="55">
                  <formatCode>General</formatCode>
                  <v>74</v>
                </pt>
                <pt idx="56">
                  <formatCode>General</formatCode>
                  <v>30</v>
                </pt>
                <pt idx="57">
                  <formatCode>General</formatCode>
                  <v>197</v>
                </pt>
                <pt idx="58">
                  <formatCode>General</formatCode>
                  <v>196</v>
                </pt>
                <pt idx="59">
                  <formatCode>General</formatCode>
                  <v>195</v>
                </pt>
                <pt idx="60">
                  <formatCode>General</formatCode>
                  <v>194</v>
                </pt>
                <pt idx="61">
                  <formatCode>General</formatCode>
                  <v>193</v>
                </pt>
                <pt idx="62">
                  <formatCode>General</formatCode>
                  <v>192</v>
                </pt>
                <pt idx="63">
                  <formatCode>General</formatCode>
                  <v>191</v>
                </pt>
                <pt idx="64">
                  <formatCode>General</formatCode>
                  <v>190</v>
                </pt>
                <pt idx="65">
                  <formatCode>General</formatCode>
                  <v>189</v>
                </pt>
                <pt idx="66">
                  <formatCode>General</formatCode>
                  <v>188</v>
                </pt>
                <pt idx="67">
                  <formatCode>General</formatCode>
                  <v>187</v>
                </pt>
                <pt idx="68">
                  <formatCode>General</formatCode>
                  <v>138</v>
                </pt>
                <pt idx="69">
                  <formatCode>General</formatCode>
                  <v>136</v>
                </pt>
                <pt idx="70">
                  <formatCode>General</formatCode>
                  <v>106</v>
                </pt>
                <pt idx="71">
                  <formatCode>General</formatCode>
                  <v>104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41980288"/>
        <axId val="941980768"/>
      </lineChart>
      <catAx>
        <axId val="9419802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941980768"/>
        <crosses val="autoZero"/>
        <auto val="1"/>
        <lblAlgn val="ctr"/>
        <lblOffset val="100"/>
        <noMultiLvlLbl val="0"/>
      </catAx>
      <valAx>
        <axId val="9419807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94198028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Pufferzonen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de-DE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'Nr of Kanbans'!$N$1</f>
              <strCache>
                <ptCount val="1"/>
                <pt idx="0">
                  <v>Green Zone</v>
                </pt>
              </strCache>
            </strRef>
          </tx>
          <spPr>
            <a:solidFill>
              <a:srgbClr val="00B050"/>
            </a:solidFill>
            <a:ln w="6350">
              <a:solidFill>
                <a:schemeClr val="tx1"/>
              </a:solidFill>
              <a:prstDash val="solid"/>
            </a:ln>
          </spPr>
          <invertIfNegative val="0"/>
          <cat>
            <strRef>
              <f>'Nr of Kanbans'!$A$2:$A$7</f>
              <strCache>
                <ptCount val="6"/>
                <pt idx="0">
                  <v>CT 5</v>
                </pt>
                <pt idx="1">
                  <v>CT 6</v>
                </pt>
                <pt idx="2">
                  <v>CT 7</v>
                </pt>
                <pt idx="3">
                  <v>TT 6</v>
                </pt>
                <pt idx="4">
                  <v>TT 7</v>
                </pt>
                <pt idx="5">
                  <v>TT 8</v>
                </pt>
              </strCache>
            </strRef>
          </cat>
          <val>
            <numRef>
              <f>'Nr of Kanbans'!$N$2:$N$7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ser>
          <idx val="1"/>
          <order val="1"/>
          <tx>
            <strRef>
              <f>'Nr of Kanbans'!$O$1</f>
              <strCache>
                <ptCount val="1"/>
                <pt idx="0">
                  <v>Yellow Zone</v>
                </pt>
              </strCache>
            </strRef>
          </tx>
          <spPr>
            <a:solidFill>
              <a:srgbClr val="FFFF00"/>
            </a:solidFill>
            <a:ln w="6350">
              <a:solidFill>
                <a:schemeClr val="tx1"/>
              </a:solidFill>
              <a:prstDash val="solid"/>
            </a:ln>
          </spPr>
          <invertIfNegative val="0"/>
          <cat>
            <strRef>
              <f>'Nr of Kanbans'!$A$2:$A$7</f>
              <strCache>
                <ptCount val="6"/>
                <pt idx="0">
                  <v>CT 5</v>
                </pt>
                <pt idx="1">
                  <v>CT 6</v>
                </pt>
                <pt idx="2">
                  <v>CT 7</v>
                </pt>
                <pt idx="3">
                  <v>TT 6</v>
                </pt>
                <pt idx="4">
                  <v>TT 7</v>
                </pt>
                <pt idx="5">
                  <v>TT 8</v>
                </pt>
              </strCache>
            </strRef>
          </cat>
          <val>
            <numRef>
              <f>'Nr of Kanbans'!$O$2:$O$7</f>
              <numCache>
                <formatCode>0</formatCode>
                <ptCount val="6"/>
                <pt idx="0">
                  <v>17</v>
                </pt>
                <pt idx="1">
                  <v>3</v>
                </pt>
                <pt idx="2">
                  <v>4</v>
                </pt>
                <pt idx="3">
                  <v>15</v>
                </pt>
                <pt idx="4">
                  <v>5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'Nr of Kanbans'!$P$1</f>
              <strCache>
                <ptCount val="1"/>
                <pt idx="0">
                  <v>Red Zone</v>
                </pt>
              </strCache>
            </strRef>
          </tx>
          <spPr>
            <a:solidFill>
              <a:srgbClr val="FF0000"/>
            </a:solidFill>
            <a:ln w="6350" cap="rnd">
              <a:solidFill>
                <a:schemeClr val="tx1"/>
              </a:solidFill>
              <a:prstDash val="solid"/>
              <a:round/>
            </a:ln>
            <scene3d>
              <camera prst="orthographicFront"/>
              <lightRig rig="threePt" dir="t"/>
            </scene3d>
            <a:sp3d/>
          </spPr>
          <invertIfNegative val="0"/>
          <cat>
            <strRef>
              <f>'Nr of Kanbans'!$A$2:$A$7</f>
              <strCache>
                <ptCount val="6"/>
                <pt idx="0">
                  <v>CT 5</v>
                </pt>
                <pt idx="1">
                  <v>CT 6</v>
                </pt>
                <pt idx="2">
                  <v>CT 7</v>
                </pt>
                <pt idx="3">
                  <v>TT 6</v>
                </pt>
                <pt idx="4">
                  <v>TT 7</v>
                </pt>
                <pt idx="5">
                  <v>TT 8</v>
                </pt>
              </strCache>
            </strRef>
          </cat>
          <val>
            <numRef>
              <f>'Nr of Kanbans'!$P$2:$P$7</f>
              <numCache>
                <formatCode>0</formatCode>
                <ptCount val="6"/>
                <pt idx="0">
                  <v>11</v>
                </pt>
                <pt idx="1">
                  <v>4</v>
                </pt>
                <pt idx="2">
                  <v>15</v>
                </pt>
                <pt idx="3">
                  <v>22</v>
                </pt>
                <pt idx="4">
                  <v>11</v>
                </pt>
                <pt idx="5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197730895"/>
        <axId val="197731855"/>
      </barChart>
      <catAx>
        <axId val="19773089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197731855"/>
        <crosses val="autoZero"/>
        <auto val="1"/>
        <lblAlgn val="ctr"/>
        <lblOffset val="100"/>
        <noMultiLvlLbl val="0"/>
      </catAx>
      <valAx>
        <axId val="19773185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de-DE"/>
          </a:p>
        </txPr>
        <crossAx val="19773089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33336</colOff>
      <row>28</row>
      <rowOff>173038</rowOff>
    </from>
    <to>
      <col>4</col>
      <colOff>1344612</colOff>
      <row>52</row>
      <rowOff>125412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677409</colOff>
      <row>0</row>
      <rowOff>0</rowOff>
    </from>
    <to>
      <col>13</col>
      <colOff>582384</colOff>
      <row>12</row>
      <rowOff>171903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69848</colOff>
      <row>19</row>
      <rowOff>46035</rowOff>
    </from>
    <to>
      <col>15</col>
      <colOff>706437</colOff>
      <row>40</row>
      <rowOff>100011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le4" displayName="Tabelle4" ref="I1:P8" headerRowCount="1" totalsRowShown="0" headerRowDxfId="78" dataDxfId="76" headerRowBorderDxfId="77" tableBorderDxfId="75" totalsRowBorderDxfId="74">
  <autoFilter ref="I1:P8"/>
  <tableColumns count="8">
    <tableColumn id="1" name="Bill Of Material (BOM) " dataDxfId="73"/>
    <tableColumn id="2" name="CT5" dataDxfId="72"/>
    <tableColumn id="3" name="CT6" dataDxfId="71"/>
    <tableColumn id="4" name="CT7" dataDxfId="70"/>
    <tableColumn id="5" name="TT6" dataDxfId="69"/>
    <tableColumn id="6" name="TT7" dataDxfId="68"/>
    <tableColumn id="7" name="TT8" dataDxfId="67"/>
    <tableColumn id="8" name="Total" dataDxfId="66">
      <calculatedColumnFormula>SUM(J2:O2)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elle5" displayName="Tabelle5" ref="A1:F8" headerRowCount="1" totalsRowShown="0" headerRowDxfId="65" dataDxfId="63" headerRowBorderDxfId="64" tableBorderDxfId="62" totalsRowBorderDxfId="61">
  <autoFilter ref="A1:F8"/>
  <tableColumns count="6">
    <tableColumn id="1" name="FG" dataDxfId="60"/>
    <tableColumn id="2" name="Yearly demand" dataDxfId="59"/>
    <tableColumn id="3" name="Unit price (€ per unit)" dataDxfId="58"/>
    <tableColumn id="4" name="Total value" dataDxfId="57"/>
    <tableColumn id="5" name="Percentage of total value" dataDxfId="56" dataCellStyle="Prozent"/>
    <tableColumn id="6" name="Percentage of total quantity" dataDxfId="55" dataCellStyle="Prozent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Tabelle2" displayName="Tabelle2" ref="A2:G8" headerRowCount="1" totalsRowShown="0" headerRowDxfId="54" dataDxfId="52" headerRowBorderDxfId="53" tableBorderDxfId="51" totalsRowBorderDxfId="50" dataCellStyle="Prozent">
  <autoFilter ref="A2:G8"/>
  <sortState ref="A3:F9">
    <sortCondition descending="1" ref="B2:B9"/>
  </sortState>
  <tableColumns count="7">
    <tableColumn id="1" name="FG" dataDxfId="49"/>
    <tableColumn id="2" name="Prozentsatz des_x000a_Gesamtwerts" dataDxfId="48" dataCellStyle="Prozent">
      <calculatedColumnFormula>D2/$D$8</calculatedColumnFormula>
    </tableColumn>
    <tableColumn id="3" name="Prozentsatz der_x000a_Gesamtmenge" dataDxfId="47" dataCellStyle="Prozent"/>
    <tableColumn id="4" name="Kumulativer Prozentsatz des_x000a_Gesamtwerts" dataDxfId="46" dataCellStyle="Prozent"/>
    <tableColumn id="5" name="Kumulativer Prozentsatz der_x000a_Gesamtmenge" dataDxfId="45" dataCellStyle="Prozent"/>
    <tableColumn id="6" name="Klassifizierung nach Value" dataDxfId="44" dataCellStyle="Prozent"/>
    <tableColumn id="7" name="Klassifizierung nach Quantity" dataDxfId="43" dataCellStyle="Prozent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Tabelle24" displayName="Tabelle24" ref="I2:M8" headerRowCount="1" totalsRowShown="0" headerRowDxfId="42" dataDxfId="40" headerRowBorderDxfId="41" tableBorderDxfId="39" totalsRowBorderDxfId="38" dataCellStyle="Prozent">
  <autoFilter ref="I2:M8"/>
  <sortState ref="I3:M9">
    <sortCondition descending="1" ref="J2:J9"/>
  </sortState>
  <tableColumns count="5">
    <tableColumn id="1" name="FG" dataDxfId="37"/>
    <tableColumn id="2" name="Ø (Mittelwert)" dataDxfId="26" dataCellStyle="Prozent">
      <calculatedColumnFormula>L2/$D$8</calculatedColumnFormula>
    </tableColumn>
    <tableColumn id="3" name="σ (Standardabw.)" dataDxfId="25" dataCellStyle="Prozent"/>
    <tableColumn id="4" name="S" dataDxfId="24" dataCellStyle="Prozent">
      <calculatedColumnFormula>Tabelle24[[#This Row],[σ (Standardabw.)]]/Tabelle24[[#This Row],[Ø (Mittelwert)]]</calculatedColumnFormula>
    </tableColumn>
    <tableColumn id="5" name="Klasse" dataDxfId="36" dataCellStyle="Prozent">
      <calculatedColumnFormula>IF(L3&lt;0.1,"X",IF(L3&lt;0.25,"Y","Z"))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5" name="Tabelle1" displayName="Tabelle1" ref="A30:D34" headerRowCount="1" totalsRowShown="0" headerRowDxfId="35" dataDxfId="33" headerRowBorderDxfId="34" tableBorderDxfId="32" totalsRowBorderDxfId="31">
  <autoFilter ref="A30:D34"/>
  <tableColumns count="4">
    <tableColumn id="1" name="Kombination" dataDxfId="30"/>
    <tableColumn id="2" name="Produkte" dataDxfId="29"/>
    <tableColumn id="3" name="Typische Steuerung" dataDxfId="28"/>
    <tableColumn id="4" name="Erklärung" dataDxfId="27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elle47" displayName="Tabelle47" ref="A1:H8" headerRowCount="1" totalsRowShown="0" headerRowDxfId="23" dataDxfId="22" headerRowBorderDxfId="20" tableBorderDxfId="21" totalsRowBorderDxfId="19">
  <autoFilter ref="A1:H8"/>
  <tableColumns count="8">
    <tableColumn id="1" name="Bill Of Material (BOM) " dataDxfId="18"/>
    <tableColumn id="2" name="CT5" dataDxfId="17"/>
    <tableColumn id="3" name="CT6" dataDxfId="16"/>
    <tableColumn id="4" name="CT7" dataDxfId="15"/>
    <tableColumn id="5" name="TT6" dataDxfId="14"/>
    <tableColumn id="6" name="TT7" dataDxfId="13"/>
    <tableColumn id="7" name="TT8" dataDxfId="12"/>
    <tableColumn id="8" name="Total" dataDxfId="11">
      <calculatedColumnFormula>SUM(B2:G2)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Tabelle58" displayName="Tabelle58" ref="J1:O8" headerRowCount="1" totalsRowShown="0" headerRowDxfId="10" dataDxfId="9" headerRowBorderDxfId="7" tableBorderDxfId="8" totalsRowBorderDxfId="6">
  <autoFilter ref="J1:O8"/>
  <tableColumns count="6">
    <tableColumn id="1" name="FG" dataDxfId="5"/>
    <tableColumn id="2" name="Yearly demand" dataDxfId="4"/>
    <tableColumn id="3" name="Unit price (€ per unit)" dataDxfId="3"/>
    <tableColumn id="4" name="Total value" dataDxfId="2"/>
    <tableColumn id="5" name="Percentage of total value" dataDxfId="1" dataCellStyle="Prozent"/>
    <tableColumn id="6" name="Percentage of total quantity" dataDxfId="0" dataCellStyle="Prozen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selection activeCell="P4" sqref="P4"/>
    </sheetView>
  </sheetViews>
  <sheetFormatPr baseColWidth="10" defaultColWidth="9.1328125" defaultRowHeight="14.25"/>
  <cols>
    <col width="21.53125" bestFit="1" customWidth="1" style="142" min="1" max="1"/>
    <col width="29.06640625" customWidth="1" style="142" min="2" max="2"/>
    <col width="12.33203125" customWidth="1" style="142" min="3" max="3"/>
    <col width="13.46484375" customWidth="1" style="142" min="4" max="4"/>
    <col width="13.19921875" bestFit="1" customWidth="1" style="142" min="5" max="5"/>
    <col width="12.1328125" bestFit="1" customWidth="1" style="142" min="6" max="8"/>
    <col width="12.265625" bestFit="1" customWidth="1" style="142" min="9" max="11"/>
    <col width="13.06640625" bestFit="1" customWidth="1" style="142" min="12" max="14"/>
    <col width="6.3984375" bestFit="1" customWidth="1" style="142" min="15" max="15"/>
    <col width="13.73046875" bestFit="1" customWidth="1" style="142" min="17" max="17"/>
    <col width="12.796875" bestFit="1" customWidth="1" style="142" min="18" max="18"/>
    <col width="17.53125" bestFit="1" customWidth="1" style="142" min="19" max="19"/>
    <col width="14" bestFit="1" customWidth="1" style="142" min="20" max="20"/>
    <col width="20.6640625" bestFit="1" customWidth="1" style="142" min="21" max="21"/>
    <col width="18.1328125" customWidth="1" style="142" min="22" max="22"/>
  </cols>
  <sheetData>
    <row r="1" ht="14.65" customHeight="1" s="142" thickBot="1">
      <c r="A1" s="97" t="inlineStr">
        <is>
          <t>Ebene</t>
        </is>
      </c>
      <c r="B1" s="153" t="inlineStr">
        <is>
          <t>Beschreibung</t>
        </is>
      </c>
      <c r="C1" s="179" t="inlineStr">
        <is>
          <t>RM1</t>
        </is>
      </c>
      <c r="D1" s="179" t="inlineStr">
        <is>
          <t>RM2</t>
        </is>
      </c>
      <c r="E1" s="180" t="inlineStr">
        <is>
          <t xml:space="preserve">5- SF2 </t>
        </is>
      </c>
      <c r="F1" s="181" t="inlineStr">
        <is>
          <t>6-SF2</t>
        </is>
      </c>
      <c r="G1" s="182" t="inlineStr">
        <is>
          <t>7-SF2</t>
        </is>
      </c>
      <c r="H1" s="148" t="inlineStr">
        <is>
          <t>8-SF2</t>
        </is>
      </c>
      <c r="I1" s="183" t="inlineStr">
        <is>
          <t>CT5- FG1</t>
        </is>
      </c>
      <c r="J1" s="184" t="inlineStr">
        <is>
          <t>CT6-FG1</t>
        </is>
      </c>
      <c r="K1" s="185" t="inlineStr">
        <is>
          <t>CT7-FG1</t>
        </is>
      </c>
      <c r="L1" s="185" t="inlineStr">
        <is>
          <t>TT6-FG1</t>
        </is>
      </c>
      <c r="M1" s="186" t="inlineStr">
        <is>
          <t>TT7-FG2</t>
        </is>
      </c>
      <c r="N1" s="187" t="inlineStr">
        <is>
          <t>TT8-FG3</t>
        </is>
      </c>
      <c r="T1" s="188" t="inlineStr">
        <is>
          <t>CT5-SF3</t>
        </is>
      </c>
    </row>
    <row r="2">
      <c r="A2" s="152" t="inlineStr">
        <is>
          <t>Item</t>
        </is>
      </c>
      <c r="B2" s="154" t="inlineStr">
        <is>
          <t>Name der Komponente</t>
        </is>
      </c>
      <c r="C2" s="189" t="inlineStr">
        <is>
          <t>Wellenrohling</t>
        </is>
      </c>
      <c r="D2" s="190" t="inlineStr">
        <is>
          <t>Aluminiumblock</t>
        </is>
      </c>
      <c r="E2" s="191" t="inlineStr">
        <is>
          <t>Antiebswelle 5</t>
        </is>
      </c>
      <c r="F2" s="175" t="inlineStr">
        <is>
          <t>Antiebswelle 6</t>
        </is>
      </c>
      <c r="G2" s="175" t="inlineStr">
        <is>
          <t>Antiebswelle 7</t>
        </is>
      </c>
      <c r="H2" s="175" t="inlineStr">
        <is>
          <t>Antiebswelle 8</t>
        </is>
      </c>
      <c r="I2" s="190" t="inlineStr">
        <is>
          <t>Autogetriebe 5</t>
        </is>
      </c>
      <c r="J2" s="190" t="inlineStr">
        <is>
          <t>Autogetriebe 6</t>
        </is>
      </c>
      <c r="K2" s="190" t="inlineStr">
        <is>
          <t>Autogetriebe 7</t>
        </is>
      </c>
      <c r="L2" s="190" t="inlineStr">
        <is>
          <t>LKW-Getriebe 6</t>
        </is>
      </c>
      <c r="M2" s="192" t="inlineStr">
        <is>
          <t>LKW-Getriebe 7</t>
        </is>
      </c>
      <c r="N2" s="193" t="inlineStr">
        <is>
          <t>LKW-Getriebe 8</t>
        </is>
      </c>
      <c r="T2" s="194" t="inlineStr">
        <is>
          <t>Betriebsgehäuse</t>
        </is>
      </c>
    </row>
    <row r="3">
      <c r="A3" s="29" t="inlineStr">
        <is>
          <t>Kategorie</t>
        </is>
      </c>
      <c r="B3" s="155" t="inlineStr">
        <is>
          <t>RM / SF / FG</t>
        </is>
      </c>
      <c r="C3" s="195" t="inlineStr">
        <is>
          <t>RM</t>
        </is>
      </c>
      <c r="D3" s="196" t="inlineStr">
        <is>
          <t>RM</t>
        </is>
      </c>
      <c r="E3" s="196" t="inlineStr">
        <is>
          <t>SF</t>
        </is>
      </c>
      <c r="F3" s="196" t="inlineStr">
        <is>
          <t>SF</t>
        </is>
      </c>
      <c r="G3" s="196" t="inlineStr">
        <is>
          <t>SF</t>
        </is>
      </c>
      <c r="H3" s="196" t="inlineStr">
        <is>
          <t>SF</t>
        </is>
      </c>
      <c r="I3" s="196" t="inlineStr">
        <is>
          <t>FG</t>
        </is>
      </c>
      <c r="J3" s="196" t="inlineStr">
        <is>
          <t>FG</t>
        </is>
      </c>
      <c r="K3" s="196" t="inlineStr">
        <is>
          <t>FG</t>
        </is>
      </c>
      <c r="L3" s="196" t="inlineStr">
        <is>
          <t>FG</t>
        </is>
      </c>
      <c r="M3" s="196" t="inlineStr">
        <is>
          <t>FG</t>
        </is>
      </c>
      <c r="N3" s="197" t="inlineStr">
        <is>
          <t>FG</t>
        </is>
      </c>
      <c r="T3" s="198" t="inlineStr">
        <is>
          <t>SF</t>
        </is>
      </c>
    </row>
    <row r="4">
      <c r="A4" s="29" t="inlineStr">
        <is>
          <t>DLT [AT oder min]</t>
        </is>
      </c>
      <c r="B4" s="155" t="inlineStr">
        <is>
          <t>Decoupled Lead Time</t>
        </is>
      </c>
      <c r="C4" s="199" t="n">
        <v>10</v>
      </c>
      <c r="D4" s="196" t="n">
        <v>15</v>
      </c>
      <c r="E4" s="196" t="n">
        <v>5</v>
      </c>
      <c r="F4" s="196" t="n">
        <v>5</v>
      </c>
      <c r="G4" s="196" t="n">
        <v>5</v>
      </c>
      <c r="H4" s="196" t="n">
        <v>5</v>
      </c>
      <c r="I4" s="196" t="n">
        <v>2</v>
      </c>
      <c r="J4" s="196" t="n">
        <v>2</v>
      </c>
      <c r="K4" s="196" t="n">
        <v>2</v>
      </c>
      <c r="L4" s="196" t="n">
        <v>2</v>
      </c>
      <c r="M4" s="196" t="n">
        <v>2</v>
      </c>
      <c r="N4" s="200" t="n">
        <v>2</v>
      </c>
      <c r="T4" s="201" t="n">
        <v>0.018</v>
      </c>
    </row>
    <row r="5">
      <c r="A5" s="29" t="inlineStr">
        <is>
          <t>Lead Time Category</t>
        </is>
      </c>
      <c r="B5" s="155" t="inlineStr">
        <is>
          <t>Long / Medium / Short</t>
        </is>
      </c>
      <c r="C5" s="199" t="inlineStr">
        <is>
          <t>Long</t>
        </is>
      </c>
      <c r="D5" s="196" t="inlineStr">
        <is>
          <t>Long</t>
        </is>
      </c>
      <c r="E5" s="196" t="inlineStr">
        <is>
          <t>Long</t>
        </is>
      </c>
      <c r="F5" s="196" t="inlineStr">
        <is>
          <t>Long</t>
        </is>
      </c>
      <c r="G5" s="196" t="inlineStr">
        <is>
          <t>Long</t>
        </is>
      </c>
      <c r="H5" s="196" t="inlineStr">
        <is>
          <t>Long</t>
        </is>
      </c>
      <c r="I5" s="196" t="inlineStr">
        <is>
          <t>Medium</t>
        </is>
      </c>
      <c r="J5" s="196" t="inlineStr">
        <is>
          <t>Medium</t>
        </is>
      </c>
      <c r="K5" s="196" t="inlineStr">
        <is>
          <t>Medium</t>
        </is>
      </c>
      <c r="L5" s="196" t="inlineStr">
        <is>
          <t>Medium</t>
        </is>
      </c>
      <c r="M5" s="196" t="inlineStr">
        <is>
          <t>Medium</t>
        </is>
      </c>
      <c r="N5" s="202" t="inlineStr">
        <is>
          <t>Medium</t>
        </is>
      </c>
      <c r="T5" s="198" t="inlineStr">
        <is>
          <t>Short</t>
        </is>
      </c>
    </row>
    <row r="6">
      <c r="A6" s="29" t="inlineStr">
        <is>
          <t>LTF</t>
        </is>
      </c>
      <c r="B6" s="155" t="inlineStr">
        <is>
          <t>Lead Time Factor</t>
        </is>
      </c>
      <c r="C6" s="199" t="n">
        <v>0.3</v>
      </c>
      <c r="D6" s="196" t="n">
        <v>0.25</v>
      </c>
      <c r="E6" s="196" t="n">
        <v>0.3</v>
      </c>
      <c r="F6" s="196" t="n">
        <v>0.3</v>
      </c>
      <c r="G6" s="196" t="n">
        <v>0.3</v>
      </c>
      <c r="H6" s="196" t="n">
        <v>0.3</v>
      </c>
      <c r="I6" s="196" t="n">
        <v>0.5</v>
      </c>
      <c r="J6" s="196" t="n">
        <v>0.5</v>
      </c>
      <c r="K6" s="196" t="n">
        <v>0.5</v>
      </c>
      <c r="L6" s="196" t="n">
        <v>0.5</v>
      </c>
      <c r="M6" s="196" t="n">
        <v>0.5</v>
      </c>
      <c r="N6" s="202" t="n">
        <v>0.5</v>
      </c>
      <c r="T6" s="198" t="n">
        <v>0.9</v>
      </c>
    </row>
    <row r="7">
      <c r="A7" s="29" t="inlineStr">
        <is>
          <t>Variability Category</t>
        </is>
      </c>
      <c r="B7" s="155" t="inlineStr">
        <is>
          <t>Low / Med / High</t>
        </is>
      </c>
      <c r="C7" s="199" t="inlineStr">
        <is>
          <t>Medium</t>
        </is>
      </c>
      <c r="D7" s="196" t="inlineStr">
        <is>
          <t>High</t>
        </is>
      </c>
      <c r="E7" s="196" t="inlineStr">
        <is>
          <t xml:space="preserve">Medium </t>
        </is>
      </c>
      <c r="F7" s="196" t="inlineStr">
        <is>
          <t xml:space="preserve">Medium </t>
        </is>
      </c>
      <c r="G7" s="196" t="inlineStr">
        <is>
          <t xml:space="preserve">Medium </t>
        </is>
      </c>
      <c r="H7" s="196" t="inlineStr">
        <is>
          <t xml:space="preserve">Medium </t>
        </is>
      </c>
      <c r="I7" s="196" t="inlineStr">
        <is>
          <t>Low</t>
        </is>
      </c>
      <c r="J7" s="196" t="inlineStr">
        <is>
          <t>Low</t>
        </is>
      </c>
      <c r="K7" s="196" t="inlineStr">
        <is>
          <t>Low</t>
        </is>
      </c>
      <c r="L7" s="196" t="inlineStr">
        <is>
          <t>Low</t>
        </is>
      </c>
      <c r="M7" s="196" t="inlineStr">
        <is>
          <t>Low</t>
        </is>
      </c>
      <c r="N7" s="202" t="inlineStr">
        <is>
          <t>Low</t>
        </is>
      </c>
      <c r="T7" s="198" t="inlineStr">
        <is>
          <t>Medium</t>
        </is>
      </c>
    </row>
    <row r="8">
      <c r="A8" s="29" t="inlineStr">
        <is>
          <t>VF</t>
        </is>
      </c>
      <c r="B8" s="155" t="inlineStr">
        <is>
          <t>Variability Factor</t>
        </is>
      </c>
      <c r="C8" s="199" t="n">
        <v>0.5</v>
      </c>
      <c r="D8" s="196" t="n">
        <v>0.7</v>
      </c>
      <c r="E8" s="196" t="n">
        <v>0.5</v>
      </c>
      <c r="F8" s="196" t="n">
        <v>0.5</v>
      </c>
      <c r="G8" s="196" t="n">
        <v>0.5</v>
      </c>
      <c r="H8" s="196" t="n">
        <v>0.5</v>
      </c>
      <c r="I8" s="196" t="n">
        <v>0.3</v>
      </c>
      <c r="J8" s="196" t="n">
        <v>0.3</v>
      </c>
      <c r="K8" s="196" t="n">
        <v>0.3</v>
      </c>
      <c r="L8" s="196" t="n">
        <v>0.3</v>
      </c>
      <c r="M8" s="196" t="n">
        <v>0.3</v>
      </c>
      <c r="N8" s="203" t="n">
        <v>0.3</v>
      </c>
      <c r="T8" s="198" t="n">
        <v>0.5</v>
      </c>
    </row>
    <row r="9">
      <c r="A9" s="29" t="inlineStr">
        <is>
          <t>ADU [pcs/day]</t>
        </is>
      </c>
      <c r="B9" s="155" t="inlineStr">
        <is>
          <t>Average Daily Usage</t>
        </is>
      </c>
      <c r="C9" s="199">
        <f>SUM(J38:O38)/$Q$26</f>
        <v/>
      </c>
      <c r="D9" s="204">
        <f>SUM(J38:O38)/$Q$26</f>
        <v/>
      </c>
      <c r="E9" s="204">
        <f>SUM(J26:J37)/240</f>
        <v/>
      </c>
      <c r="F9" s="204">
        <f>(SUM(K26:K37)+SUM(M26:M37))/240</f>
        <v/>
      </c>
      <c r="G9" s="204">
        <f>(SUM(L26:L37)+(SUM(N26:N37)))/240</f>
        <v/>
      </c>
      <c r="H9" s="204">
        <f>SUM(O26:O37)/240</f>
        <v/>
      </c>
      <c r="I9" s="204">
        <f>J38/$Q$26</f>
        <v/>
      </c>
      <c r="J9" s="204">
        <f>K38/$Q$26</f>
        <v/>
      </c>
      <c r="K9" s="204">
        <f>L38/$Q$26</f>
        <v/>
      </c>
      <c r="L9" s="204">
        <f>M38/$Q$26</f>
        <v/>
      </c>
      <c r="M9" s="204">
        <f>N38/$Q$26</f>
        <v/>
      </c>
      <c r="N9" s="205">
        <f>O38/$Q$26</f>
        <v/>
      </c>
      <c r="T9" s="206">
        <f>SUM(M26:M37)/240</f>
        <v/>
      </c>
    </row>
    <row r="10" ht="36.75" customHeight="1" s="142">
      <c r="A10" s="29" t="inlineStr">
        <is>
          <t>Desired Repl. Interval [AT]</t>
        </is>
      </c>
      <c r="B10" s="155" t="inlineStr">
        <is>
          <t>gewünschter Bestellzyklus</t>
        </is>
      </c>
      <c r="C10" s="199" t="n">
        <v>0</v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07" t="n">
        <v>0</v>
      </c>
      <c r="N10" s="208" t="n">
        <v>0</v>
      </c>
      <c r="T10" s="209" t="n">
        <v>0</v>
      </c>
    </row>
    <row r="11">
      <c r="A11" s="29" t="inlineStr">
        <is>
          <t>MOQ [pcs]</t>
        </is>
      </c>
      <c r="B11" s="155" t="inlineStr">
        <is>
          <t>Mindestbestellmenge</t>
        </is>
      </c>
      <c r="C11" s="199" t="n">
        <v>0</v>
      </c>
      <c r="D11" s="204" t="n">
        <v>0</v>
      </c>
      <c r="E11" s="204" t="n">
        <v>0</v>
      </c>
      <c r="F11" s="204" t="n">
        <v>0</v>
      </c>
      <c r="G11" s="204" t="n">
        <v>0</v>
      </c>
      <c r="H11" s="204" t="n">
        <v>0</v>
      </c>
      <c r="I11" s="204" t="n">
        <v>0</v>
      </c>
      <c r="J11" s="204" t="n">
        <v>0</v>
      </c>
      <c r="K11" s="204" t="n">
        <v>0</v>
      </c>
      <c r="L11" s="204" t="n">
        <v>0</v>
      </c>
      <c r="M11" s="204" t="n">
        <v>0</v>
      </c>
      <c r="N11" s="210" t="n">
        <v>0</v>
      </c>
      <c r="T11" s="211" t="n">
        <v>0</v>
      </c>
    </row>
    <row r="12">
      <c r="A12" s="29" t="inlineStr">
        <is>
          <t>Rechenschritte:</t>
        </is>
      </c>
      <c r="B12" s="155" t="n"/>
      <c r="C12" s="199" t="n"/>
      <c r="D12" s="196" t="n"/>
      <c r="E12" s="212" t="n"/>
      <c r="F12" s="6" t="n"/>
      <c r="G12" s="6" t="n"/>
      <c r="H12" s="6" t="n"/>
      <c r="I12" s="212" t="n"/>
      <c r="J12" s="140" t="n"/>
      <c r="K12" s="6" t="n"/>
      <c r="L12" s="6" t="n"/>
      <c r="M12" s="6" t="n"/>
      <c r="N12" s="167" t="n"/>
      <c r="T12" s="213" t="n"/>
    </row>
    <row r="13">
      <c r="A13" s="29" t="inlineStr">
        <is>
          <t>Term 1: MOQ</t>
        </is>
      </c>
      <c r="B13" s="155" t="n"/>
      <c r="C13" s="199" t="n">
        <v>0</v>
      </c>
      <c r="D13" s="204" t="n">
        <v>0</v>
      </c>
      <c r="E13" s="196" t="n">
        <v>0</v>
      </c>
      <c r="F13" s="196" t="n">
        <v>0</v>
      </c>
      <c r="G13" s="196" t="n">
        <v>0</v>
      </c>
      <c r="H13" s="196" t="n">
        <v>0</v>
      </c>
      <c r="I13" s="196" t="n">
        <v>0</v>
      </c>
      <c r="J13" s="196" t="n">
        <v>0</v>
      </c>
      <c r="K13" s="196" t="n">
        <v>0</v>
      </c>
      <c r="L13" s="196" t="n">
        <v>0</v>
      </c>
      <c r="M13" s="196" t="n">
        <v>0</v>
      </c>
      <c r="N13" s="202" t="n">
        <v>0</v>
      </c>
      <c r="T13" s="198" t="n">
        <v>0</v>
      </c>
    </row>
    <row r="14">
      <c r="A14" s="29" t="inlineStr">
        <is>
          <t>Term 2: Interval × ADU</t>
        </is>
      </c>
      <c r="B14" s="155" t="inlineStr">
        <is>
          <t>Interval × ADU</t>
        </is>
      </c>
      <c r="C14" s="199">
        <f>C10*C9</f>
        <v/>
      </c>
      <c r="D14" s="204">
        <f>D10*D9</f>
        <v/>
      </c>
      <c r="E14" s="204">
        <f>E10*E9</f>
        <v/>
      </c>
      <c r="F14" s="204">
        <f>F10*F9</f>
        <v/>
      </c>
      <c r="G14" s="204">
        <f>G10*G9</f>
        <v/>
      </c>
      <c r="H14" s="204">
        <f>H10*H9</f>
        <v/>
      </c>
      <c r="I14" s="204">
        <f>I10*I9</f>
        <v/>
      </c>
      <c r="J14" s="204">
        <f>J10*J9</f>
        <v/>
      </c>
      <c r="K14" s="204">
        <f>K10*K9</f>
        <v/>
      </c>
      <c r="L14" s="204">
        <f>L10*L9</f>
        <v/>
      </c>
      <c r="M14" s="204">
        <f>M10*M9</f>
        <v/>
      </c>
      <c r="N14" s="214">
        <f>N10*N9</f>
        <v/>
      </c>
      <c r="T14" s="206">
        <f>T10*T9</f>
        <v/>
      </c>
    </row>
    <row r="15">
      <c r="A15" s="29" t="inlineStr">
        <is>
          <t>Term 3: LTF × ADU × DLT</t>
        </is>
      </c>
      <c r="B15" s="155" t="inlineStr">
        <is>
          <t>LTF × ADU × DLT</t>
        </is>
      </c>
      <c r="C15" s="199">
        <f>C6*C9*C4</f>
        <v/>
      </c>
      <c r="D15" s="204">
        <f>D6*D9*D4</f>
        <v/>
      </c>
      <c r="E15" s="204">
        <f>E6*E9*E4</f>
        <v/>
      </c>
      <c r="F15" s="204">
        <f>F6*F9*F4</f>
        <v/>
      </c>
      <c r="G15" s="204">
        <f>G6*G9*G4</f>
        <v/>
      </c>
      <c r="H15" s="204">
        <f>H6*H9*H4</f>
        <v/>
      </c>
      <c r="I15" s="204">
        <f>I6*I9*I4</f>
        <v/>
      </c>
      <c r="J15" s="204">
        <f>J6*J9*J4</f>
        <v/>
      </c>
      <c r="K15" s="204">
        <f>K6*K9*K4</f>
        <v/>
      </c>
      <c r="L15" s="204">
        <f>L6*L9*L4</f>
        <v/>
      </c>
      <c r="M15" s="204">
        <f>M6*M9*M4</f>
        <v/>
      </c>
      <c r="N15" s="214">
        <f>N6*N9*N4</f>
        <v/>
      </c>
      <c r="T15" s="206">
        <f>T4*T9*T6</f>
        <v/>
      </c>
    </row>
    <row r="16">
      <c r="A16" s="29" t="inlineStr">
        <is>
          <t>Green Zone [pcs]</t>
        </is>
      </c>
      <c r="B16" s="156" t="inlineStr">
        <is>
          <t>MAX(Term1;Term2;Term3)</t>
        </is>
      </c>
      <c r="C16" s="199">
        <f>ROUNDUP(MAX(C13:C15),0)</f>
        <v/>
      </c>
      <c r="D16" s="204">
        <f>ROUNDUP(MAX(D13:D15),0)</f>
        <v/>
      </c>
      <c r="E16" s="204">
        <f>ROUNDUP(MAX(E13:E15),0)</f>
        <v/>
      </c>
      <c r="F16" s="204">
        <f>ROUNDUP(MAX(F13:F15),0)</f>
        <v/>
      </c>
      <c r="G16" s="204">
        <f>ROUNDUP(MAX(G13:G15),0)</f>
        <v/>
      </c>
      <c r="H16" s="204">
        <f>ROUNDUP(MAX(H13:H15),0)</f>
        <v/>
      </c>
      <c r="I16" s="204">
        <f>ROUNDUP(MAX(I13:I15),0)</f>
        <v/>
      </c>
      <c r="J16" s="204">
        <f>ROUNDUP(MAX(J13:J15),0)</f>
        <v/>
      </c>
      <c r="K16" s="204">
        <f>ROUNDUP(MAX(K13:K15),0)</f>
        <v/>
      </c>
      <c r="L16" s="204">
        <f>ROUNDUP(MAX(L13:L15),0)</f>
        <v/>
      </c>
      <c r="M16" s="204">
        <f>ROUNDUP(MAX(M13:M15),0)</f>
        <v/>
      </c>
      <c r="N16" s="214">
        <f>ROUNDUP(MAX(N13:N15),0)</f>
        <v/>
      </c>
      <c r="T16" s="206">
        <f>MAX(T13:T15)</f>
        <v/>
      </c>
    </row>
    <row r="17">
      <c r="A17" s="29" t="inlineStr">
        <is>
          <t>Red Base [pcs]</t>
        </is>
      </c>
      <c r="B17" s="156" t="inlineStr">
        <is>
          <t>LTF x ADU x DLT</t>
        </is>
      </c>
      <c r="C17" s="199">
        <f>C6*C9*C4</f>
        <v/>
      </c>
      <c r="D17" s="204">
        <f>D6*D9*D4</f>
        <v/>
      </c>
      <c r="E17" s="204">
        <f>E6*E9*E4</f>
        <v/>
      </c>
      <c r="F17" s="204">
        <f>F6*F9*F4</f>
        <v/>
      </c>
      <c r="G17" s="204">
        <f>G6*G9*G4</f>
        <v/>
      </c>
      <c r="H17" s="204">
        <f>H6*H9*H4</f>
        <v/>
      </c>
      <c r="I17" s="204">
        <f>I6*I9*I4</f>
        <v/>
      </c>
      <c r="J17" s="204">
        <f>J6*J9*J4</f>
        <v/>
      </c>
      <c r="K17" s="204">
        <f>K6*K9*K4</f>
        <v/>
      </c>
      <c r="L17" s="204">
        <f>L6*L9*L4</f>
        <v/>
      </c>
      <c r="M17" s="204">
        <f>M6*M9*M4</f>
        <v/>
      </c>
      <c r="N17" s="214">
        <f>N6*N9*N4</f>
        <v/>
      </c>
      <c r="T17" s="206">
        <f>T6*T9*T4</f>
        <v/>
      </c>
    </row>
    <row r="18">
      <c r="A18" s="29" t="inlineStr">
        <is>
          <t>Red Safety [pcs]</t>
        </is>
      </c>
      <c r="B18" s="156" t="inlineStr">
        <is>
          <t>Red Zone Base x Variability Factor</t>
        </is>
      </c>
      <c r="C18" s="199">
        <f>C17*C8</f>
        <v/>
      </c>
      <c r="D18" s="204">
        <f>D17*D8</f>
        <v/>
      </c>
      <c r="E18" s="204">
        <f>E17*E8</f>
        <v/>
      </c>
      <c r="F18" s="204">
        <f>F17*F8</f>
        <v/>
      </c>
      <c r="G18" s="204">
        <f>G17*G8</f>
        <v/>
      </c>
      <c r="H18" s="204">
        <f>H17*H8</f>
        <v/>
      </c>
      <c r="I18" s="204">
        <f>I17*I8</f>
        <v/>
      </c>
      <c r="J18" s="204">
        <f>J17*J8</f>
        <v/>
      </c>
      <c r="K18" s="204">
        <f>K17*K8</f>
        <v/>
      </c>
      <c r="L18" s="204">
        <f>L17*L8</f>
        <v/>
      </c>
      <c r="M18" s="204">
        <f>M17*M8</f>
        <v/>
      </c>
      <c r="N18" s="214">
        <f>N17*N8</f>
        <v/>
      </c>
      <c r="T18" s="206">
        <f>T17*T8</f>
        <v/>
      </c>
    </row>
    <row r="19">
      <c r="A19" s="29" t="inlineStr">
        <is>
          <t>Total Red Zone [pcs]</t>
        </is>
      </c>
      <c r="B19" s="156" t="inlineStr">
        <is>
          <t>Red Zone Base + Red Zone Safety</t>
        </is>
      </c>
      <c r="C19" s="199">
        <f>ROUNDUP(C17+C18,0)</f>
        <v/>
      </c>
      <c r="D19" s="204">
        <f>ROUNDUP(D17+D18,0)</f>
        <v/>
      </c>
      <c r="E19" s="204">
        <f>ROUNDUP(E17+E18,0)</f>
        <v/>
      </c>
      <c r="F19" s="204">
        <f>ROUNDUP(F17+F18,0)</f>
        <v/>
      </c>
      <c r="G19" s="204">
        <f>ROUNDUP(G17+G18,0)</f>
        <v/>
      </c>
      <c r="H19" s="204">
        <f>ROUNDUP(H17+H18,0)</f>
        <v/>
      </c>
      <c r="I19" s="204">
        <f>ROUNDUP(I17+I18,0)</f>
        <v/>
      </c>
      <c r="J19" s="204">
        <f>ROUNDUP(J17+J18,0)</f>
        <v/>
      </c>
      <c r="K19" s="204">
        <f>ROUNDUP(K17+K18,0)</f>
        <v/>
      </c>
      <c r="L19" s="204">
        <f>ROUNDUP(L17+L18,0)</f>
        <v/>
      </c>
      <c r="M19" s="204">
        <f>ROUNDUP(M17+M18,0)</f>
        <v/>
      </c>
      <c r="N19" s="215">
        <f>ROUNDUP(N17+N18,0)</f>
        <v/>
      </c>
      <c r="T19" s="206">
        <f>T17+T18</f>
        <v/>
      </c>
    </row>
    <row r="20">
      <c r="A20" s="29" t="inlineStr">
        <is>
          <t>Yellow Zone [pcs]</t>
        </is>
      </c>
      <c r="B20" s="156" t="inlineStr">
        <is>
          <t>DLT x ADU</t>
        </is>
      </c>
      <c r="C20" s="199">
        <f>ROUNDUP((C4*C9),0)</f>
        <v/>
      </c>
      <c r="D20" s="204">
        <f>ROUNDUP((D4*D9),0)</f>
        <v/>
      </c>
      <c r="E20" s="204">
        <f>ROUNDUP((E4*E9),0)</f>
        <v/>
      </c>
      <c r="F20" s="204">
        <f>ROUNDUP((F4*F9),0)</f>
        <v/>
      </c>
      <c r="G20" s="204">
        <f>ROUNDUP((G4*G9),0)</f>
        <v/>
      </c>
      <c r="H20" s="204">
        <f>ROUNDUP((H4*H9),0)</f>
        <v/>
      </c>
      <c r="I20" s="204">
        <f>ROUNDUP((I4*I9),0)</f>
        <v/>
      </c>
      <c r="J20" s="204">
        <f>ROUNDUP((J4*J9),0)</f>
        <v/>
      </c>
      <c r="K20" s="204">
        <f>ROUNDUP((K4*K9),0)</f>
        <v/>
      </c>
      <c r="L20" s="204">
        <f>ROUNDUP((L4*L9),0)</f>
        <v/>
      </c>
      <c r="M20" s="204">
        <f>ROUNDUP((M4*M9),0)</f>
        <v/>
      </c>
      <c r="N20" s="214">
        <f>ROUNDUP((N4*N9),0)</f>
        <v/>
      </c>
      <c r="T20" s="206">
        <f>(T4*T9)</f>
        <v/>
      </c>
    </row>
    <row r="21" ht="14.65" customHeight="1" s="142" thickBot="1">
      <c r="A21" s="30" t="inlineStr">
        <is>
          <t>Total Buffer [pcs]</t>
        </is>
      </c>
      <c r="B21" s="157" t="inlineStr">
        <is>
          <t>Red  + Yellow + Green</t>
        </is>
      </c>
      <c r="C21" s="216">
        <f>C19+C20+C16</f>
        <v/>
      </c>
      <c r="D21" s="217">
        <f>D19+D20+D16</f>
        <v/>
      </c>
      <c r="E21" s="218">
        <f>E19+E20+E16</f>
        <v/>
      </c>
      <c r="F21" s="218">
        <f>F19+F20+F16</f>
        <v/>
      </c>
      <c r="G21" s="218">
        <f>G19+G20+G16</f>
        <v/>
      </c>
      <c r="H21" s="218">
        <f>H19+H20+H16</f>
        <v/>
      </c>
      <c r="I21" s="219">
        <f>I19+I20+I16</f>
        <v/>
      </c>
      <c r="J21" s="219">
        <f>J19+J20+J16</f>
        <v/>
      </c>
      <c r="K21" s="219">
        <f>K19+K20+K16</f>
        <v/>
      </c>
      <c r="L21" s="219">
        <f>L19+L20+L16</f>
        <v/>
      </c>
      <c r="M21" s="219">
        <f>M19+M20+M16</f>
        <v/>
      </c>
      <c r="N21" s="220">
        <f>N19+N20+N16</f>
        <v/>
      </c>
      <c r="T21" s="221">
        <f>T19+T20+T16</f>
        <v/>
      </c>
    </row>
    <row r="22">
      <c r="A22" t="inlineStr">
        <is>
          <t>Number of Kanbans</t>
        </is>
      </c>
      <c r="B22" t="inlineStr">
        <is>
          <t>Anzahl Kanbans im Umlauf</t>
        </is>
      </c>
      <c r="C22" s="222" t="n">
        <v>832</v>
      </c>
      <c r="D22" s="222" t="n">
        <v>1193</v>
      </c>
      <c r="E22" s="222" t="n">
        <v>156</v>
      </c>
      <c r="F22" s="222" t="n">
        <v>163</v>
      </c>
      <c r="G22" s="222" t="n">
        <v>92</v>
      </c>
      <c r="H22" s="222" t="n">
        <v>10</v>
      </c>
      <c r="I22" s="222" t="n">
        <v>77</v>
      </c>
      <c r="J22" s="222" t="n">
        <v>16</v>
      </c>
      <c r="K22" s="222" t="n">
        <v>22</v>
      </c>
      <c r="L22" s="222" t="n">
        <v>67</v>
      </c>
      <c r="M22" s="222" t="n">
        <v>26</v>
      </c>
      <c r="N22" s="222" t="n">
        <v>5</v>
      </c>
    </row>
    <row r="24" ht="14.65" customHeight="1" s="142" thickBot="1"/>
    <row r="25" ht="28.9" customHeight="1" s="142" thickBot="1">
      <c r="A25" s="94" t="inlineStr">
        <is>
          <t>Lead Time Category</t>
        </is>
      </c>
      <c r="B25" s="95" t="inlineStr">
        <is>
          <t>LTF Range</t>
        </is>
      </c>
      <c r="C25" s="96" t="inlineStr">
        <is>
          <t>Default LTF</t>
        </is>
      </c>
      <c r="E25" s="94" t="inlineStr">
        <is>
          <t>Variability</t>
        </is>
      </c>
      <c r="F25" s="95" t="inlineStr">
        <is>
          <t>VF Range</t>
        </is>
      </c>
      <c r="G25" s="96" t="inlineStr">
        <is>
          <t>Default VF</t>
        </is>
      </c>
      <c r="I25" s="91" t="inlineStr">
        <is>
          <t>Month/product</t>
        </is>
      </c>
      <c r="J25" s="92" t="inlineStr">
        <is>
          <t>CT (5-speed)</t>
        </is>
      </c>
      <c r="K25" s="92" t="inlineStr">
        <is>
          <t>CT (6-speed)</t>
        </is>
      </c>
      <c r="L25" s="92" t="inlineStr">
        <is>
          <t>CT (7-speed)</t>
        </is>
      </c>
      <c r="M25" s="92" t="inlineStr">
        <is>
          <t>TT (6-speed)</t>
        </is>
      </c>
      <c r="N25" s="92" t="inlineStr">
        <is>
          <t>TT (7-speed)</t>
        </is>
      </c>
      <c r="O25" s="93" t="inlineStr">
        <is>
          <t>TT (8-speed)</t>
        </is>
      </c>
      <c r="Q25" s="98" t="inlineStr">
        <is>
          <t>Arbeitage / Jahr:</t>
        </is>
      </c>
    </row>
    <row r="26" ht="14.65" customHeight="1" s="142" thickBot="1">
      <c r="A26" s="101" t="inlineStr">
        <is>
          <t>Long</t>
        </is>
      </c>
      <c r="B26" s="101" t="inlineStr">
        <is>
          <t>0.2–0.4</t>
        </is>
      </c>
      <c r="C26" s="101" t="inlineStr">
        <is>
          <t>0.3</t>
        </is>
      </c>
      <c r="E26" s="101" t="inlineStr">
        <is>
          <t>Low</t>
        </is>
      </c>
      <c r="F26" s="101" t="inlineStr">
        <is>
          <t>0–0.4</t>
        </is>
      </c>
      <c r="G26" s="101" t="inlineStr">
        <is>
          <t>0.3</t>
        </is>
      </c>
      <c r="I26" s="102" t="n">
        <v>-1</v>
      </c>
      <c r="J26" s="103" t="n">
        <v>391</v>
      </c>
      <c r="K26" s="103" t="n">
        <v>61</v>
      </c>
      <c r="L26" s="103" t="n">
        <v>128</v>
      </c>
      <c r="M26" s="103" t="n">
        <v>227</v>
      </c>
      <c r="N26" s="103" t="n">
        <v>95</v>
      </c>
      <c r="O26" s="104" t="n">
        <v>22</v>
      </c>
      <c r="Q26" s="90" t="n">
        <v>240</v>
      </c>
    </row>
    <row r="27">
      <c r="A27" s="27" t="inlineStr">
        <is>
          <t>Medium</t>
        </is>
      </c>
      <c r="B27" s="27" t="inlineStr">
        <is>
          <t>0.41–0.6</t>
        </is>
      </c>
      <c r="C27" s="27" t="inlineStr">
        <is>
          <t>0.5</t>
        </is>
      </c>
      <c r="E27" s="27" t="inlineStr">
        <is>
          <t>Medium</t>
        </is>
      </c>
      <c r="F27" s="27" t="inlineStr">
        <is>
          <t>0.41–0.6</t>
        </is>
      </c>
      <c r="G27" s="27" t="inlineStr">
        <is>
          <t>0.5</t>
        </is>
      </c>
      <c r="I27" s="102" t="n">
        <v>-2</v>
      </c>
      <c r="J27" s="103" t="n">
        <v>366</v>
      </c>
      <c r="K27" s="103" t="n">
        <v>65</v>
      </c>
      <c r="L27" s="103" t="n">
        <v>78</v>
      </c>
      <c r="M27" s="103" t="n">
        <v>215</v>
      </c>
      <c r="N27" s="103" t="n">
        <v>145</v>
      </c>
      <c r="O27" s="104" t="n">
        <v>18</v>
      </c>
    </row>
    <row r="28">
      <c r="A28" s="27" t="inlineStr">
        <is>
          <t>Short</t>
        </is>
      </c>
      <c r="B28" s="27" t="inlineStr">
        <is>
          <t>0.61–1.0</t>
        </is>
      </c>
      <c r="C28" s="27" t="inlineStr">
        <is>
          <t>0.9</t>
        </is>
      </c>
      <c r="E28" s="27" t="inlineStr">
        <is>
          <t>High</t>
        </is>
      </c>
      <c r="F28" s="27" t="inlineStr">
        <is>
          <t>0.61–1+</t>
        </is>
      </c>
      <c r="G28" s="27" t="inlineStr">
        <is>
          <t>0.8</t>
        </is>
      </c>
      <c r="I28" s="102" t="n">
        <v>-3</v>
      </c>
      <c r="J28" s="103" t="n">
        <v>402</v>
      </c>
      <c r="K28" s="103" t="n">
        <v>70</v>
      </c>
      <c r="L28" s="103" t="n">
        <v>55</v>
      </c>
      <c r="M28" s="103" t="n">
        <v>333</v>
      </c>
      <c r="N28" s="103" t="n">
        <v>96</v>
      </c>
      <c r="O28" s="104" t="n">
        <v>19</v>
      </c>
    </row>
    <row r="29">
      <c r="I29" s="102" t="n">
        <v>-4</v>
      </c>
      <c r="J29" s="103" t="n">
        <v>294</v>
      </c>
      <c r="K29" s="103" t="n">
        <v>54</v>
      </c>
      <c r="L29" s="103" t="n">
        <v>96</v>
      </c>
      <c r="M29" s="103" t="n">
        <v>196</v>
      </c>
      <c r="N29" s="103" t="n">
        <v>121</v>
      </c>
      <c r="O29" s="104" t="n">
        <v>23</v>
      </c>
    </row>
    <row r="30">
      <c r="I30" s="102" t="n">
        <v>-5</v>
      </c>
      <c r="J30" s="103" t="n">
        <v>359</v>
      </c>
      <c r="K30" s="103" t="n">
        <v>72</v>
      </c>
      <c r="L30" s="103" t="n">
        <v>78</v>
      </c>
      <c r="M30" s="103" t="n">
        <v>310</v>
      </c>
      <c r="N30" s="103" t="n">
        <v>89</v>
      </c>
      <c r="O30" s="104" t="n">
        <v>19</v>
      </c>
    </row>
    <row r="31">
      <c r="I31" s="102" t="n">
        <v>-6</v>
      </c>
      <c r="J31" s="103" t="n">
        <v>356</v>
      </c>
      <c r="K31" s="103" t="n">
        <v>71</v>
      </c>
      <c r="L31" s="103" t="n">
        <v>105</v>
      </c>
      <c r="M31" s="103" t="n">
        <v>273</v>
      </c>
      <c r="N31" s="103" t="n">
        <v>101</v>
      </c>
      <c r="O31" s="104" t="n">
        <v>22</v>
      </c>
    </row>
    <row r="32">
      <c r="A32" t="inlineStr">
        <is>
          <t>ADU [pcs/day]</t>
        </is>
      </c>
      <c r="B32" t="inlineStr">
        <is>
          <t>Produkte im Jahr/ Arbeitszeit im Jahr</t>
        </is>
      </c>
      <c r="I32" s="102" t="n">
        <v>-7</v>
      </c>
      <c r="J32" s="103" t="n">
        <v>324</v>
      </c>
      <c r="K32" s="103" t="n">
        <v>72</v>
      </c>
      <c r="L32" s="103" t="n">
        <v>111</v>
      </c>
      <c r="M32" s="103" t="n">
        <v>338</v>
      </c>
      <c r="N32" s="103" t="n">
        <v>119</v>
      </c>
      <c r="O32" s="104" t="n">
        <v>16</v>
      </c>
    </row>
    <row r="33">
      <c r="A33" t="inlineStr">
        <is>
          <t>DRI = MTBM</t>
        </is>
      </c>
      <c r="B33" t="inlineStr">
        <is>
          <t>Gesamtbetriebszeit / Anzahl der Wartungsaktivitäten</t>
        </is>
      </c>
      <c r="I33" s="102" t="n">
        <v>-8</v>
      </c>
      <c r="J33" s="103" t="n">
        <v>382</v>
      </c>
      <c r="K33" s="103" t="n">
        <v>71</v>
      </c>
      <c r="L33" s="103" t="n">
        <v>100</v>
      </c>
      <c r="M33" s="103" t="n">
        <v>360</v>
      </c>
      <c r="N33" s="103" t="n">
        <v>142</v>
      </c>
      <c r="O33" s="104" t="n">
        <v>15</v>
      </c>
    </row>
    <row r="34">
      <c r="A34" t="inlineStr">
        <is>
          <t>MOQ = EOQ</t>
        </is>
      </c>
      <c r="B34" t="inlineStr">
        <is>
          <t>sqr(2xJahresbedafr*Bestellkosten)/Lagerkosten</t>
        </is>
      </c>
      <c r="I34" s="102" t="n">
        <v>-9</v>
      </c>
      <c r="J34" s="103" t="n">
        <v>353</v>
      </c>
      <c r="K34" s="103" t="n">
        <v>66</v>
      </c>
      <c r="L34" s="103" t="n">
        <v>140</v>
      </c>
      <c r="M34" s="103" t="n">
        <v>318</v>
      </c>
      <c r="N34" s="103" t="n">
        <v>111</v>
      </c>
      <c r="O34" s="104" t="n">
        <v>20</v>
      </c>
    </row>
    <row r="35">
      <c r="I35" s="102" t="n">
        <v>-10</v>
      </c>
      <c r="J35" s="103" t="n">
        <v>306</v>
      </c>
      <c r="K35" s="103" t="n">
        <v>60</v>
      </c>
      <c r="L35" s="103" t="n">
        <v>33</v>
      </c>
      <c r="M35" s="103" t="n">
        <v>375</v>
      </c>
      <c r="N35" s="103" t="n">
        <v>85</v>
      </c>
      <c r="O35" s="104" t="n">
        <v>11</v>
      </c>
    </row>
    <row r="36">
      <c r="I36" s="102" t="n">
        <v>-11</v>
      </c>
      <c r="J36" s="103" t="n">
        <v>349</v>
      </c>
      <c r="K36" s="103" t="n">
        <v>70</v>
      </c>
      <c r="L36" s="103" t="n">
        <v>135</v>
      </c>
      <c r="M36" s="103" t="n">
        <v>416</v>
      </c>
      <c r="N36" s="103" t="n">
        <v>80</v>
      </c>
      <c r="O36" s="104" t="n">
        <v>23</v>
      </c>
    </row>
    <row r="37">
      <c r="I37" s="105" t="n">
        <v>-12</v>
      </c>
      <c r="J37" s="106" t="n">
        <v>352</v>
      </c>
      <c r="K37" s="106" t="n">
        <v>69</v>
      </c>
      <c r="L37" s="106" t="n">
        <v>64</v>
      </c>
      <c r="M37" s="106" t="n">
        <v>291</v>
      </c>
      <c r="N37" s="106" t="n">
        <v>164</v>
      </c>
      <c r="O37" s="107" t="n">
        <v>17</v>
      </c>
    </row>
    <row r="38" ht="14.65" customHeight="1" s="142" thickBot="1">
      <c r="I38" s="108" t="inlineStr">
        <is>
          <t xml:space="preserve">Gesamt </t>
        </is>
      </c>
      <c r="J38" s="109">
        <f>SUM(J26:J37)</f>
        <v/>
      </c>
      <c r="K38" s="109">
        <f>SUM(K26:K37)</f>
        <v/>
      </c>
      <c r="L38" s="109">
        <f>SUM(L26:L37)</f>
        <v/>
      </c>
      <c r="M38" s="109">
        <f>SUM(M26:M37)</f>
        <v/>
      </c>
      <c r="N38" s="109">
        <f>SUM(N26:N37)</f>
        <v/>
      </c>
      <c r="O38" s="110">
        <f>SUM(O26:O37)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zoomScaleNormal="100" workbookViewId="0">
      <selection activeCell="I24" sqref="I23:I24"/>
    </sheetView>
  </sheetViews>
  <sheetFormatPr baseColWidth="10" defaultRowHeight="14.25"/>
  <cols>
    <col width="14.53125" customWidth="1" style="142" min="1" max="1"/>
    <col width="17.46484375" bestFit="1" customWidth="1" style="142" min="2" max="2"/>
    <col width="22.53125" bestFit="1" customWidth="1" style="142" min="3" max="3"/>
    <col width="14" bestFit="1" customWidth="1" style="142" min="4" max="4"/>
    <col width="25.46484375" bestFit="1" customWidth="1" style="142" min="5" max="5"/>
    <col width="27.796875" bestFit="1" customWidth="1" style="142" min="6" max="6"/>
    <col width="11.796875" bestFit="1" customWidth="1" style="142" min="8" max="8"/>
    <col width="22.53125" bestFit="1" customWidth="1" style="142" min="9" max="9"/>
    <col width="15.46484375" customWidth="1" style="142" min="16" max="16"/>
  </cols>
  <sheetData>
    <row r="1" ht="46.25" customHeight="1" s="142">
      <c r="A1" s="65" t="inlineStr">
        <is>
          <t>FG</t>
        </is>
      </c>
      <c r="B1" s="50" t="inlineStr">
        <is>
          <t>Yearly demand</t>
        </is>
      </c>
      <c r="C1" s="50" t="inlineStr">
        <is>
          <t>Unit price (€ per unit)</t>
        </is>
      </c>
      <c r="D1" s="50" t="inlineStr">
        <is>
          <t>Total value</t>
        </is>
      </c>
      <c r="E1" s="50" t="inlineStr">
        <is>
          <t>Percentage of total value</t>
        </is>
      </c>
      <c r="F1" s="51" t="inlineStr">
        <is>
          <t>Percentage of total quantity</t>
        </is>
      </c>
      <c r="I1" s="52" t="inlineStr">
        <is>
          <t xml:space="preserve">Bill Of Material (BOM) </t>
        </is>
      </c>
      <c r="J1" s="50" t="inlineStr">
        <is>
          <t>CT5</t>
        </is>
      </c>
      <c r="K1" s="50" t="inlineStr">
        <is>
          <t>CT6</t>
        </is>
      </c>
      <c r="L1" s="50" t="inlineStr">
        <is>
          <t>CT7</t>
        </is>
      </c>
      <c r="M1" s="50" t="inlineStr">
        <is>
          <t>TT6</t>
        </is>
      </c>
      <c r="N1" s="50" t="inlineStr">
        <is>
          <t>TT7</t>
        </is>
      </c>
      <c r="O1" s="50" t="inlineStr">
        <is>
          <t>TT8</t>
        </is>
      </c>
      <c r="P1" s="51" t="inlineStr">
        <is>
          <t>Total</t>
        </is>
      </c>
    </row>
    <row r="2">
      <c r="A2" s="57" t="inlineStr">
        <is>
          <t>CT (5-speed)</t>
        </is>
      </c>
      <c r="B2" s="19">
        <f>SUM(Pufferzonen!J26:J37)</f>
        <v/>
      </c>
      <c r="C2" s="58" t="n">
        <v>1000</v>
      </c>
      <c r="D2" s="58">
        <f>B2*C2</f>
        <v/>
      </c>
      <c r="E2" s="59">
        <f>D2/$D$8</f>
        <v/>
      </c>
      <c r="F2" s="60">
        <f>B2/$B$8</f>
        <v/>
      </c>
      <c r="I2" s="126" t="inlineStr">
        <is>
          <t>Dichtungsringe</t>
        </is>
      </c>
      <c r="J2" s="19" t="n">
        <v>6</v>
      </c>
      <c r="K2" s="19" t="n">
        <v>7</v>
      </c>
      <c r="L2" s="19" t="n">
        <v>4</v>
      </c>
      <c r="M2" s="19" t="n">
        <v>8</v>
      </c>
      <c r="N2" s="19" t="n">
        <v>12</v>
      </c>
      <c r="O2" s="19" t="n">
        <v>14</v>
      </c>
      <c r="P2" s="53">
        <f>SUM(J2:O2)</f>
        <v/>
      </c>
    </row>
    <row r="3">
      <c r="A3" s="57" t="inlineStr">
        <is>
          <t>CT (6-speed)</t>
        </is>
      </c>
      <c r="B3" s="19">
        <f>SUM(Pufferzonen!K26:K37)</f>
        <v/>
      </c>
      <c r="C3" s="58" t="n">
        <v>1500</v>
      </c>
      <c r="D3" s="58">
        <f>B3*C3</f>
        <v/>
      </c>
      <c r="E3" s="59">
        <f>D3/$D$8</f>
        <v/>
      </c>
      <c r="F3" s="60">
        <f>B3/$B$8</f>
        <v/>
      </c>
      <c r="I3" s="126" t="inlineStr">
        <is>
          <t>Schrauben</t>
        </is>
      </c>
      <c r="J3" s="19" t="n">
        <v>12</v>
      </c>
      <c r="K3" s="19" t="n">
        <v>15</v>
      </c>
      <c r="L3" s="19" t="n">
        <v>18</v>
      </c>
      <c r="M3" s="19" t="n">
        <v>20</v>
      </c>
      <c r="N3" s="19" t="n">
        <v>25</v>
      </c>
      <c r="O3" s="19" t="n">
        <v>30</v>
      </c>
      <c r="P3" s="53">
        <f>SUM(J3:O3)</f>
        <v/>
      </c>
    </row>
    <row r="4">
      <c r="A4" s="57" t="inlineStr">
        <is>
          <t>CT (7-speed)</t>
        </is>
      </c>
      <c r="B4" s="19">
        <f>SUM(Pufferzonen!L26:L37)</f>
        <v/>
      </c>
      <c r="C4" s="58" t="n">
        <v>3000</v>
      </c>
      <c r="D4" s="58">
        <f>B4*C4</f>
        <v/>
      </c>
      <c r="E4" s="59">
        <f>D4/$D$8</f>
        <v/>
      </c>
      <c r="F4" s="60">
        <f>B4/$B$8</f>
        <v/>
      </c>
      <c r="I4" s="126" t="inlineStr">
        <is>
          <t>Gehäuse</t>
        </is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1</v>
      </c>
      <c r="O4" s="19" t="n">
        <v>1</v>
      </c>
      <c r="P4" s="53">
        <f>SUM(J4:O4)</f>
        <v/>
      </c>
    </row>
    <row r="5">
      <c r="A5" s="57" t="inlineStr">
        <is>
          <t>TT (6-speed)</t>
        </is>
      </c>
      <c r="B5" s="19">
        <f>SUM(Pufferzonen!M26:M37)</f>
        <v/>
      </c>
      <c r="C5" s="58" t="n">
        <v>14000</v>
      </c>
      <c r="D5" s="58">
        <f>B5*C5</f>
        <v/>
      </c>
      <c r="E5" s="59">
        <f>D5/$D$8</f>
        <v/>
      </c>
      <c r="F5" s="60">
        <f>B5/$B$8</f>
        <v/>
      </c>
      <c r="I5" s="126" t="inlineStr">
        <is>
          <t>Antriebswelle (5-Gang)</t>
        </is>
      </c>
      <c r="J5" s="19" t="n">
        <v>1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53">
        <f>SUM(J5:O5)</f>
        <v/>
      </c>
    </row>
    <row r="6">
      <c r="A6" s="57" t="inlineStr">
        <is>
          <t>TT (7-speed)</t>
        </is>
      </c>
      <c r="B6" s="19">
        <f>SUM(Pufferzonen!N26:N37)</f>
        <v/>
      </c>
      <c r="C6" s="58" t="n">
        <v>18000</v>
      </c>
      <c r="D6" s="58">
        <f>B6*C6</f>
        <v/>
      </c>
      <c r="E6" s="59">
        <f>D6/$D$8</f>
        <v/>
      </c>
      <c r="F6" s="60">
        <f>B6/$B$8</f>
        <v/>
      </c>
      <c r="I6" s="126" t="inlineStr">
        <is>
          <t>Antriebswelle (6-Gang)</t>
        </is>
      </c>
      <c r="J6" s="19" t="n">
        <v>0</v>
      </c>
      <c r="K6" s="19" t="n">
        <v>1</v>
      </c>
      <c r="L6" s="19" t="n">
        <v>0</v>
      </c>
      <c r="M6" s="19" t="n">
        <v>1</v>
      </c>
      <c r="N6" s="19" t="n">
        <v>0</v>
      </c>
      <c r="O6" s="19" t="n">
        <v>0</v>
      </c>
      <c r="P6" s="53">
        <f>SUM(J6:O6)</f>
        <v/>
      </c>
    </row>
    <row r="7">
      <c r="A7" s="57" t="inlineStr">
        <is>
          <t>TT (8-speed)</t>
        </is>
      </c>
      <c r="B7" s="19">
        <f>SUM(Pufferzonen!O26:O37)</f>
        <v/>
      </c>
      <c r="C7" s="58" t="n">
        <v>25000</v>
      </c>
      <c r="D7" s="58">
        <f>B7*C7</f>
        <v/>
      </c>
      <c r="E7" s="59">
        <f>D7/$D$8</f>
        <v/>
      </c>
      <c r="F7" s="60">
        <f>B7/$B$8</f>
        <v/>
      </c>
      <c r="I7" s="126" t="inlineStr">
        <is>
          <t>Antriebswelle (7-Gang)</t>
        </is>
      </c>
      <c r="J7" s="19" t="n">
        <v>0</v>
      </c>
      <c r="K7" s="19" t="n">
        <v>0</v>
      </c>
      <c r="L7" s="19" t="n">
        <v>1</v>
      </c>
      <c r="M7" s="19" t="n">
        <v>0</v>
      </c>
      <c r="N7" s="19" t="n">
        <v>1</v>
      </c>
      <c r="O7" s="19" t="n">
        <v>0</v>
      </c>
      <c r="P7" s="53">
        <f>SUM(J7:O7)</f>
        <v/>
      </c>
    </row>
    <row r="8">
      <c r="A8" s="4" t="inlineStr">
        <is>
          <t>Total</t>
        </is>
      </c>
      <c r="B8" s="61">
        <f>SUM(B2:B7)</f>
        <v/>
      </c>
      <c r="C8" s="61" t="n"/>
      <c r="D8" s="62">
        <f>SUM(D2:D7)</f>
        <v/>
      </c>
      <c r="E8" s="63">
        <f>SUM(E2:E7)</f>
        <v/>
      </c>
      <c r="F8" s="64">
        <f>SUM(F2:F7)</f>
        <v/>
      </c>
      <c r="I8" s="54" t="inlineStr">
        <is>
          <t>Antriebswelle (8-Gang)</t>
        </is>
      </c>
      <c r="J8" s="55" t="n">
        <v>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1</v>
      </c>
      <c r="P8" s="56">
        <f>SUM(J8:O8)</f>
        <v/>
      </c>
    </row>
    <row r="11">
      <c r="A11" s="85" t="inlineStr">
        <is>
          <t>Routing</t>
        </is>
      </c>
      <c r="B11" s="81" t="inlineStr">
        <is>
          <t>CT5</t>
        </is>
      </c>
      <c r="C11" s="81" t="inlineStr">
        <is>
          <t>CT6</t>
        </is>
      </c>
      <c r="D11" s="81" t="inlineStr">
        <is>
          <t>CT7</t>
        </is>
      </c>
      <c r="E11" s="81" t="inlineStr">
        <is>
          <t>TT6</t>
        </is>
      </c>
      <c r="F11" s="81" t="inlineStr">
        <is>
          <t>TT7</t>
        </is>
      </c>
      <c r="G11" s="87" t="inlineStr">
        <is>
          <t>TT8</t>
        </is>
      </c>
      <c r="H11" s="81" t="inlineStr">
        <is>
          <t>Verfügbarkeit</t>
        </is>
      </c>
      <c r="I11" s="81" t="inlineStr">
        <is>
          <t>Aufwand in h</t>
        </is>
      </c>
      <c r="J11" s="81" t="inlineStr">
        <is>
          <t>Auslastung</t>
        </is>
      </c>
      <c r="K11" s="81" t="inlineStr">
        <is>
          <t>Pacemaker</t>
        </is>
      </c>
    </row>
    <row r="12">
      <c r="A12" s="6" t="inlineStr">
        <is>
          <t>Schleifen</t>
        </is>
      </c>
      <c r="B12" s="6" t="n">
        <v>13.5</v>
      </c>
      <c r="C12" s="6" t="n">
        <v>13.5</v>
      </c>
      <c r="D12" s="6" t="n">
        <v>13.5</v>
      </c>
      <c r="E12" s="6" t="n">
        <v>13.5</v>
      </c>
      <c r="F12" s="6" t="n">
        <v>13.5</v>
      </c>
      <c r="G12" s="14" t="n">
        <v>13.5</v>
      </c>
      <c r="H12" s="6" t="n">
        <v>3500</v>
      </c>
      <c r="I12" s="34">
        <f>SUMPRODUCT(B12:G12,$B$36:$G$36)/60</f>
        <v/>
      </c>
      <c r="J12" s="8">
        <f>(SUMPRODUCT(B12:G12, $B$36:$G$36)/60) / H12</f>
        <v/>
      </c>
      <c r="K12" s="17">
        <f>IF(J12=MAX($J$12:$J$17),"✔","X")</f>
        <v/>
      </c>
    </row>
    <row r="13">
      <c r="A13" s="6" t="inlineStr">
        <is>
          <t>Polieren</t>
        </is>
      </c>
      <c r="B13" s="6" t="n">
        <v>5</v>
      </c>
      <c r="C13" s="6" t="n">
        <v>5</v>
      </c>
      <c r="D13" s="6" t="n">
        <v>5</v>
      </c>
      <c r="E13" s="6" t="n">
        <v>5</v>
      </c>
      <c r="F13" s="6" t="n">
        <v>5</v>
      </c>
      <c r="G13" s="14" t="n">
        <v>5</v>
      </c>
      <c r="H13" s="6" t="n">
        <v>3500</v>
      </c>
      <c r="I13" s="34">
        <f>SUMPRODUCT(B13:G13,$B$36:$G$36)/60</f>
        <v/>
      </c>
      <c r="J13" s="8">
        <f>(SUMPRODUCT(B13:G13, $B$36:$G$36)/60) / H13</f>
        <v/>
      </c>
      <c r="K13" s="17">
        <f>IF(J13=MAX($J$12:$J$17),"✔","X")</f>
        <v/>
      </c>
    </row>
    <row r="14">
      <c r="A14" s="6" t="inlineStr">
        <is>
          <t>Montagewelle</t>
        </is>
      </c>
      <c r="B14" s="6" t="n">
        <v>12</v>
      </c>
      <c r="C14" s="6" t="n">
        <v>12</v>
      </c>
      <c r="D14" s="6" t="n">
        <v>12</v>
      </c>
      <c r="E14" s="6" t="n">
        <v>12</v>
      </c>
      <c r="F14" s="6" t="n">
        <v>12</v>
      </c>
      <c r="G14" s="14" t="n">
        <v>12</v>
      </c>
      <c r="H14" s="6" t="n">
        <v>3500</v>
      </c>
      <c r="I14" s="34">
        <f>SUMPRODUCT(B14:G14,$B$36:$G$36)/60</f>
        <v/>
      </c>
      <c r="J14" s="8">
        <f>(SUMPRODUCT(B14:G14, $B$36:$G$36)/60) / H14</f>
        <v/>
      </c>
      <c r="K14" s="17">
        <f>IF(J14=MAX($J$12:$J$17),"✔","X")</f>
        <v/>
      </c>
    </row>
    <row r="15">
      <c r="A15" s="6" t="inlineStr">
        <is>
          <t>Fräsen</t>
        </is>
      </c>
      <c r="B15" s="6" t="n">
        <v>10</v>
      </c>
      <c r="C15" s="6" t="n">
        <v>10</v>
      </c>
      <c r="D15" s="6" t="n">
        <v>10</v>
      </c>
      <c r="E15" s="6" t="n">
        <v>10</v>
      </c>
      <c r="F15" s="6" t="n">
        <v>10</v>
      </c>
      <c r="G15" s="14" t="n">
        <v>10</v>
      </c>
      <c r="H15" s="6" t="n">
        <v>3500</v>
      </c>
      <c r="I15" s="34">
        <f>SUMPRODUCT(B15:G15,$B$36:$G$36)/60</f>
        <v/>
      </c>
      <c r="J15" s="8">
        <f>(SUMPRODUCT(B15:G15, $B$36:$G$36)/60) / H15</f>
        <v/>
      </c>
      <c r="K15" s="17">
        <f>IF(J15=MAX($J$12:$J$17),"✔","X")</f>
        <v/>
      </c>
    </row>
    <row r="16">
      <c r="A16" s="15" t="inlineStr">
        <is>
          <t>Finale Montage</t>
        </is>
      </c>
      <c r="B16" s="15" t="n">
        <v>14</v>
      </c>
      <c r="C16" s="15" t="n">
        <v>20</v>
      </c>
      <c r="D16" s="15" t="n">
        <v>25</v>
      </c>
      <c r="E16" s="15" t="n">
        <v>16</v>
      </c>
      <c r="F16" s="15" t="n">
        <v>25</v>
      </c>
      <c r="G16" s="16" t="n">
        <v>28</v>
      </c>
      <c r="H16" s="15" t="n">
        <v>3500</v>
      </c>
      <c r="I16" s="35">
        <f>SUMPRODUCT(B16:G16,$B$36:$G$36)/60</f>
        <v/>
      </c>
      <c r="J16" s="18">
        <f>(SUMPRODUCT(B16:G16, $B$36:$G$36)/60) / H16</f>
        <v/>
      </c>
      <c r="K16" s="33">
        <f>IF(J16=MAX($J$12:$J$17),"✔","X")</f>
        <v/>
      </c>
    </row>
    <row r="17">
      <c r="A17" s="6" t="inlineStr">
        <is>
          <t>Qualitätscheck</t>
        </is>
      </c>
      <c r="B17" s="6" t="n">
        <v>4</v>
      </c>
      <c r="C17" s="6" t="n">
        <v>5</v>
      </c>
      <c r="D17" s="6" t="n">
        <v>5</v>
      </c>
      <c r="E17" s="6" t="n">
        <v>5</v>
      </c>
      <c r="F17" s="6" t="n">
        <v>6</v>
      </c>
      <c r="G17" s="14" t="n">
        <v>8</v>
      </c>
      <c r="H17" s="6" t="n">
        <v>3500</v>
      </c>
      <c r="I17" s="34">
        <f>SUMPRODUCT(B17:G17,$B$36:$G$36)/60</f>
        <v/>
      </c>
      <c r="J17" s="8">
        <f>(SUMPRODUCT(B17:G17, $B$36:$G$36)/60) / H17</f>
        <v/>
      </c>
      <c r="K17" s="17">
        <f>IF(J17=MAX($J$12:$J$17),"✔","X")</f>
        <v/>
      </c>
    </row>
    <row r="23">
      <c r="A23" s="81" t="inlineStr">
        <is>
          <t>Month/product</t>
        </is>
      </c>
      <c r="B23" s="81" t="inlineStr">
        <is>
          <t>CT5</t>
        </is>
      </c>
      <c r="C23" s="81" t="inlineStr">
        <is>
          <t>CT6</t>
        </is>
      </c>
      <c r="D23" s="81" t="inlineStr">
        <is>
          <t>CT7</t>
        </is>
      </c>
      <c r="E23" s="81" t="inlineStr">
        <is>
          <t>TT6</t>
        </is>
      </c>
      <c r="F23" s="81" t="inlineStr">
        <is>
          <t>TT7</t>
        </is>
      </c>
      <c r="G23" s="81" t="inlineStr">
        <is>
          <t>TT8</t>
        </is>
      </c>
    </row>
    <row r="24">
      <c r="A24" s="2" t="n">
        <v>-1</v>
      </c>
      <c r="B24" s="2" t="n">
        <v>391</v>
      </c>
      <c r="C24" s="2" t="n">
        <v>61</v>
      </c>
      <c r="D24" s="2" t="n">
        <v>128</v>
      </c>
      <c r="E24" s="2" t="n">
        <v>227</v>
      </c>
      <c r="F24" s="2" t="n">
        <v>95</v>
      </c>
      <c r="G24" s="2" t="n">
        <v>22</v>
      </c>
    </row>
    <row r="25">
      <c r="A25" s="2" t="n">
        <v>-2</v>
      </c>
      <c r="B25" s="2" t="n">
        <v>366</v>
      </c>
      <c r="C25" s="2" t="n">
        <v>65</v>
      </c>
      <c r="D25" s="2" t="n">
        <v>78</v>
      </c>
      <c r="E25" s="2" t="n">
        <v>215</v>
      </c>
      <c r="F25" s="2" t="n">
        <v>145</v>
      </c>
      <c r="G25" s="2" t="n">
        <v>18</v>
      </c>
    </row>
    <row r="26">
      <c r="A26" s="2" t="n">
        <v>-3</v>
      </c>
      <c r="B26" s="2" t="n">
        <v>402</v>
      </c>
      <c r="C26" s="2" t="n">
        <v>70</v>
      </c>
      <c r="D26" s="2" t="n">
        <v>55</v>
      </c>
      <c r="E26" s="2" t="n">
        <v>333</v>
      </c>
      <c r="F26" s="2" t="n">
        <v>96</v>
      </c>
      <c r="G26" s="2" t="n">
        <v>19</v>
      </c>
    </row>
    <row r="27">
      <c r="A27" s="2" t="n">
        <v>-4</v>
      </c>
      <c r="B27" s="2" t="n">
        <v>294</v>
      </c>
      <c r="C27" s="2" t="n">
        <v>54</v>
      </c>
      <c r="D27" s="2" t="n">
        <v>96</v>
      </c>
      <c r="E27" s="2" t="n">
        <v>196</v>
      </c>
      <c r="F27" s="2" t="n">
        <v>121</v>
      </c>
      <c r="G27" s="2" t="n">
        <v>23</v>
      </c>
    </row>
    <row r="28">
      <c r="A28" s="2" t="n">
        <v>-5</v>
      </c>
      <c r="B28" s="2" t="n">
        <v>359</v>
      </c>
      <c r="C28" s="2" t="n">
        <v>72</v>
      </c>
      <c r="D28" s="2" t="n">
        <v>78</v>
      </c>
      <c r="E28" s="2" t="n">
        <v>310</v>
      </c>
      <c r="F28" s="2" t="n">
        <v>89</v>
      </c>
      <c r="G28" s="2" t="n">
        <v>19</v>
      </c>
    </row>
    <row r="29">
      <c r="A29" s="2" t="n">
        <v>-6</v>
      </c>
      <c r="B29" s="2" t="n">
        <v>356</v>
      </c>
      <c r="C29" s="2" t="n">
        <v>71</v>
      </c>
      <c r="D29" s="2" t="n">
        <v>105</v>
      </c>
      <c r="E29" s="2" t="n">
        <v>273</v>
      </c>
      <c r="F29" s="2" t="n">
        <v>101</v>
      </c>
      <c r="G29" s="2" t="n">
        <v>22</v>
      </c>
    </row>
    <row r="30">
      <c r="A30" s="2" t="n">
        <v>-7</v>
      </c>
      <c r="B30" s="2" t="n">
        <v>324</v>
      </c>
      <c r="C30" s="2" t="n">
        <v>72</v>
      </c>
      <c r="D30" s="2" t="n">
        <v>111</v>
      </c>
      <c r="E30" s="2" t="n">
        <v>338</v>
      </c>
      <c r="F30" s="2" t="n">
        <v>119</v>
      </c>
      <c r="G30" s="2" t="n">
        <v>16</v>
      </c>
    </row>
    <row r="31">
      <c r="A31" s="2" t="n">
        <v>-8</v>
      </c>
      <c r="B31" s="2" t="n">
        <v>382</v>
      </c>
      <c r="C31" s="2" t="n">
        <v>71</v>
      </c>
      <c r="D31" s="2" t="n">
        <v>100</v>
      </c>
      <c r="E31" s="2" t="n">
        <v>360</v>
      </c>
      <c r="F31" s="2" t="n">
        <v>142</v>
      </c>
      <c r="G31" s="2" t="n">
        <v>15</v>
      </c>
    </row>
    <row r="32">
      <c r="A32" s="2" t="n">
        <v>-9</v>
      </c>
      <c r="B32" s="2" t="n">
        <v>353</v>
      </c>
      <c r="C32" s="2" t="n">
        <v>66</v>
      </c>
      <c r="D32" s="2" t="n">
        <v>140</v>
      </c>
      <c r="E32" s="2" t="n">
        <v>318</v>
      </c>
      <c r="F32" s="2" t="n">
        <v>111</v>
      </c>
      <c r="G32" s="2" t="n">
        <v>20</v>
      </c>
    </row>
    <row r="33">
      <c r="A33" s="2" t="n">
        <v>-10</v>
      </c>
      <c r="B33" s="2" t="n">
        <v>306</v>
      </c>
      <c r="C33" s="2" t="n">
        <v>60</v>
      </c>
      <c r="D33" s="2" t="n">
        <v>33</v>
      </c>
      <c r="E33" s="2" t="n">
        <v>375</v>
      </c>
      <c r="F33" s="2" t="n">
        <v>85</v>
      </c>
      <c r="G33" s="2" t="n">
        <v>11</v>
      </c>
    </row>
    <row r="34">
      <c r="A34" s="2" t="n">
        <v>-11</v>
      </c>
      <c r="B34" s="2" t="n">
        <v>349</v>
      </c>
      <c r="C34" s="2" t="n">
        <v>70</v>
      </c>
      <c r="D34" s="2" t="n">
        <v>135</v>
      </c>
      <c r="E34" s="2" t="n">
        <v>416</v>
      </c>
      <c r="F34" s="2" t="n">
        <v>80</v>
      </c>
      <c r="G34" s="2" t="n">
        <v>23</v>
      </c>
    </row>
    <row r="35" ht="14.65" customHeight="1" s="142" thickBot="1">
      <c r="A35" s="38" t="n">
        <v>-12</v>
      </c>
      <c r="B35" s="38" t="n">
        <v>352</v>
      </c>
      <c r="C35" s="38" t="n">
        <v>69</v>
      </c>
      <c r="D35" s="38" t="n">
        <v>64</v>
      </c>
      <c r="E35" s="38" t="n">
        <v>291</v>
      </c>
      <c r="F35" s="38" t="n">
        <v>164</v>
      </c>
      <c r="G35" s="38" t="n">
        <v>17</v>
      </c>
    </row>
    <row r="36" ht="14.65" customHeight="1" s="142" thickTop="1">
      <c r="A36" s="36" t="inlineStr">
        <is>
          <t>Summe</t>
        </is>
      </c>
      <c r="B36" s="37">
        <f>SUM(B24:B35)</f>
        <v/>
      </c>
      <c r="C36" s="37">
        <f>SUM(C24:C35)</f>
        <v/>
      </c>
      <c r="D36" s="37">
        <f>SUM(D24:D35)</f>
        <v/>
      </c>
      <c r="E36" s="37">
        <f>SUM(E24:E35)</f>
        <v/>
      </c>
      <c r="F36" s="37">
        <f>SUM(F24:F35)</f>
        <v/>
      </c>
      <c r="G36" s="37">
        <f>SUM(G24:G35)</f>
        <v/>
      </c>
    </row>
  </sheetData>
  <pageMargins left="0.7" right="0.7" top="0.787401575" bottom="0.7874015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J22" sqref="J22"/>
    </sheetView>
  </sheetViews>
  <sheetFormatPr baseColWidth="10" defaultRowHeight="14.25"/>
  <cols>
    <col width="13.1328125" customWidth="1" style="142" min="1" max="1"/>
    <col width="13" bestFit="1" customWidth="1" style="142" min="2" max="2"/>
    <col width="18.6640625" customWidth="1" style="142" min="3" max="3"/>
    <col width="13" bestFit="1" customWidth="1" style="142" min="4" max="4"/>
    <col width="14" bestFit="1" customWidth="1" style="142" min="5" max="6"/>
    <col width="13" bestFit="1" customWidth="1" style="142" min="7" max="7"/>
    <col width="14" bestFit="1" customWidth="1" style="142" min="8" max="8"/>
    <col width="17.6640625" customWidth="1" style="142" min="9" max="9"/>
    <col width="18.86328125" customWidth="1" style="142" min="10" max="10"/>
    <col width="15.53125" customWidth="1" style="142" min="11" max="11"/>
    <col width="16.86328125" bestFit="1" customWidth="1" style="142" min="12" max="12"/>
    <col width="22.53125" customWidth="1" style="142" min="13" max="13"/>
  </cols>
  <sheetData>
    <row r="1">
      <c r="A1" s="123" t="inlineStr">
        <is>
          <t>ABC analysis</t>
        </is>
      </c>
      <c r="B1" s="223" t="n"/>
      <c r="C1" s="223" t="n"/>
      <c r="D1" s="223" t="n"/>
      <c r="E1" s="223" t="n"/>
      <c r="F1" s="223" t="n"/>
      <c r="G1" s="224" t="n"/>
      <c r="I1" s="123" t="inlineStr">
        <is>
          <t>XYZ analysis</t>
        </is>
      </c>
      <c r="J1" s="223" t="n"/>
      <c r="K1" s="223" t="n"/>
      <c r="L1" s="223" t="n"/>
      <c r="M1" s="224" t="n"/>
    </row>
    <row r="2" ht="57" customHeight="1" s="142">
      <c r="A2" s="10" t="inlineStr">
        <is>
          <t>FG</t>
        </is>
      </c>
      <c r="B2" s="11" t="inlineStr">
        <is>
          <t>Prozentsatz des
Gesamtwerts</t>
        </is>
      </c>
      <c r="C2" s="11" t="inlineStr">
        <is>
          <t>Prozentsatz der
Gesamtmenge</t>
        </is>
      </c>
      <c r="D2" s="11" t="inlineStr">
        <is>
          <t>Kumulativer Prozentsatz des
Gesamtwerts</t>
        </is>
      </c>
      <c r="E2" s="11" t="inlineStr">
        <is>
          <t>Kumulativer Prozentsatz der
Gesamtmenge</t>
        </is>
      </c>
      <c r="F2" s="12" t="inlineStr">
        <is>
          <t>Klassifizierung nach Value</t>
        </is>
      </c>
      <c r="G2" s="11" t="inlineStr">
        <is>
          <t>Klassifizierung nach Quantity</t>
        </is>
      </c>
      <c r="I2" s="10" t="inlineStr">
        <is>
          <t>FG</t>
        </is>
      </c>
      <c r="J2" s="11" t="inlineStr">
        <is>
          <t>Ø (Mittelwert)</t>
        </is>
      </c>
      <c r="K2" s="11" t="inlineStr">
        <is>
          <t>σ (Standardabw.)</t>
        </is>
      </c>
      <c r="L2" s="11" t="inlineStr">
        <is>
          <t>S</t>
        </is>
      </c>
      <c r="M2" s="11" t="inlineStr">
        <is>
          <t>Klasse</t>
        </is>
      </c>
    </row>
    <row r="3">
      <c r="A3" s="1" t="inlineStr">
        <is>
          <t>TT6</t>
        </is>
      </c>
      <c r="B3" s="8">
        <f>Pacemaker!D5/Pacemaker!$D$8</f>
        <v/>
      </c>
      <c r="C3" s="8">
        <f>Pacemaker!B5/Pacemaker!$B$8</f>
        <v/>
      </c>
      <c r="D3" s="8">
        <f>SUM($B$3:B3)</f>
        <v/>
      </c>
      <c r="E3" s="8">
        <f>SUM($C$3:C3)</f>
        <v/>
      </c>
      <c r="F3" s="49" t="inlineStr">
        <is>
          <t>A</t>
        </is>
      </c>
      <c r="G3" s="112" t="inlineStr">
        <is>
          <t>B</t>
        </is>
      </c>
      <c r="I3" s="1" t="inlineStr">
        <is>
          <t>CT5</t>
        </is>
      </c>
      <c r="J3" s="21">
        <f>AVERAGE($B$15:B26)</f>
        <v/>
      </c>
      <c r="K3" s="21">
        <f>_xlfn.STDEV.P(B15:B26)</f>
        <v/>
      </c>
      <c r="L3" s="8">
        <f>Tabelle24[[#This Row],[σ (Standardabw.)]]/Tabelle24[[#This Row],[Ø (Mittelwert)]]</f>
        <v/>
      </c>
      <c r="M3" s="8">
        <f>IF(L3&lt;0.1,"X",IF(L3&lt;0.25,"Y","Z"))</f>
        <v/>
      </c>
    </row>
    <row r="4">
      <c r="A4" s="1" t="inlineStr">
        <is>
          <t>TT7</t>
        </is>
      </c>
      <c r="B4" s="8">
        <f>Pacemaker!D6/Pacemaker!$D$8</f>
        <v/>
      </c>
      <c r="C4" s="8">
        <f>Pacemaker!B6/Pacemaker!$B$8</f>
        <v/>
      </c>
      <c r="D4" s="8">
        <f>SUM($B$3:B4)</f>
        <v/>
      </c>
      <c r="E4" s="8">
        <f>SUM($C$3:C4)</f>
        <v/>
      </c>
      <c r="F4" s="49" t="inlineStr">
        <is>
          <t>B</t>
        </is>
      </c>
      <c r="G4" s="59" t="inlineStr">
        <is>
          <t>C</t>
        </is>
      </c>
      <c r="I4" s="1" t="inlineStr">
        <is>
          <t>CT6</t>
        </is>
      </c>
      <c r="J4" s="21">
        <f>AVERAGE($C$15:C26)</f>
        <v/>
      </c>
      <c r="K4" s="21">
        <f>_xlfn.STDEV.P(C15:C26)</f>
        <v/>
      </c>
      <c r="L4" s="8">
        <f>Tabelle24[[#This Row],[σ (Standardabw.)]]/Tabelle24[[#This Row],[Ø (Mittelwert)]]</f>
        <v/>
      </c>
      <c r="M4" s="8">
        <f>IF(L4&lt;0.1,"X",IF(L4&lt;0.25,"Y","Z"))</f>
        <v/>
      </c>
    </row>
    <row r="5">
      <c r="A5" s="1" t="inlineStr">
        <is>
          <t>TT8</t>
        </is>
      </c>
      <c r="B5" s="8">
        <f>Pacemaker!D7/Pacemaker!$D$8</f>
        <v/>
      </c>
      <c r="C5" s="8">
        <f>Pacemaker!B7/Pacemaker!$B$8</f>
        <v/>
      </c>
      <c r="D5" s="8">
        <f>SUM($B$3:B5)</f>
        <v/>
      </c>
      <c r="E5" s="8">
        <f>SUM($C$3:C5)</f>
        <v/>
      </c>
      <c r="F5" s="49" t="inlineStr">
        <is>
          <t>B</t>
        </is>
      </c>
      <c r="G5" s="59" t="inlineStr">
        <is>
          <t>C</t>
        </is>
      </c>
      <c r="I5" s="1" t="inlineStr">
        <is>
          <t>CT7</t>
        </is>
      </c>
      <c r="J5" s="21">
        <f>AVERAGE($D$15:D26)</f>
        <v/>
      </c>
      <c r="K5" s="21">
        <f>_xlfn.STDEV.P(D15:D26)</f>
        <v/>
      </c>
      <c r="L5" s="8">
        <f>Tabelle24[[#This Row],[σ (Standardabw.)]]/Tabelle24[[#This Row],[Ø (Mittelwert)]]</f>
        <v/>
      </c>
      <c r="M5" s="8">
        <f>IF(L5&lt;0.1,"X",IF(L5&lt;0.25,"Y","Z"))</f>
        <v/>
      </c>
    </row>
    <row r="6">
      <c r="A6" s="1" t="inlineStr">
        <is>
          <t>CT5</t>
        </is>
      </c>
      <c r="B6" s="8">
        <f>Pacemaker!D2/Pacemaker!$D$8</f>
        <v/>
      </c>
      <c r="C6" s="8">
        <f>Pacemaker!B2/Pacemaker!$B$8</f>
        <v/>
      </c>
      <c r="D6" s="8">
        <f>SUM($B$3:B6)</f>
        <v/>
      </c>
      <c r="E6" s="8">
        <f>SUM($C$3:C6)</f>
        <v/>
      </c>
      <c r="F6" s="49" t="inlineStr">
        <is>
          <t>C</t>
        </is>
      </c>
      <c r="G6" s="59" t="inlineStr">
        <is>
          <t>C</t>
        </is>
      </c>
      <c r="I6" s="1" t="inlineStr">
        <is>
          <t>TT(6-speed)</t>
        </is>
      </c>
      <c r="J6" s="21">
        <f>AVERAGE($E$15:E26)</f>
        <v/>
      </c>
      <c r="K6" s="21">
        <f>_xlfn.STDEV.P(E15:E26)</f>
        <v/>
      </c>
      <c r="L6" s="8">
        <f>Tabelle24[[#This Row],[σ (Standardabw.)]]/Tabelle24[[#This Row],[Ø (Mittelwert)]]</f>
        <v/>
      </c>
      <c r="M6" s="8">
        <f>IF(L6&lt;0.1,"X",IF(L6&lt;0.25,"Y","Z"))</f>
        <v/>
      </c>
    </row>
    <row r="7">
      <c r="A7" s="1" t="inlineStr">
        <is>
          <t>CT7</t>
        </is>
      </c>
      <c r="B7" s="8">
        <f>Pacemaker!D4/Pacemaker!$D$8</f>
        <v/>
      </c>
      <c r="C7" s="8">
        <f>Pacemaker!B4/Pacemaker!$B$8</f>
        <v/>
      </c>
      <c r="D7" s="8">
        <f>SUM($B$3:B7)</f>
        <v/>
      </c>
      <c r="E7" s="8">
        <f>SUM($C$3:C7)</f>
        <v/>
      </c>
      <c r="F7" s="49" t="inlineStr">
        <is>
          <t>C</t>
        </is>
      </c>
      <c r="G7" s="59" t="inlineStr">
        <is>
          <t>C</t>
        </is>
      </c>
      <c r="I7" s="1" t="inlineStr">
        <is>
          <t>TT(7-speed)</t>
        </is>
      </c>
      <c r="J7" s="127">
        <f>AVERAGE($F$15:F26)</f>
        <v/>
      </c>
      <c r="K7" s="21">
        <f>_xlfn.STDEV.P(F15:F26)</f>
        <v/>
      </c>
      <c r="L7" s="8">
        <f>Tabelle24[[#This Row],[σ (Standardabw.)]]/Tabelle24[[#This Row],[Ø (Mittelwert)]]</f>
        <v/>
      </c>
      <c r="M7" s="8">
        <f>IF(L7&lt;0.1,"X",IF(L7&lt;0.25,"Y","Z"))</f>
        <v/>
      </c>
    </row>
    <row r="8">
      <c r="A8" s="23" t="inlineStr">
        <is>
          <t>CT6</t>
        </is>
      </c>
      <c r="B8" s="9">
        <f>Pacemaker!D3/Pacemaker!$D$8</f>
        <v/>
      </c>
      <c r="C8" s="9">
        <f>Pacemaker!B3/Pacemaker!$B$8</f>
        <v/>
      </c>
      <c r="D8" s="9">
        <f>SUM($B$3:B8)</f>
        <v/>
      </c>
      <c r="E8" s="9">
        <f>SUM($C$3:C8)</f>
        <v/>
      </c>
      <c r="F8" s="49" t="inlineStr">
        <is>
          <t>C</t>
        </is>
      </c>
      <c r="G8" s="113" t="inlineStr">
        <is>
          <t>C</t>
        </is>
      </c>
      <c r="I8" s="23" t="inlineStr">
        <is>
          <t>TT (8-speed)</t>
        </is>
      </c>
      <c r="J8" s="127">
        <f>AVERAGE($G$15:G26)</f>
        <v/>
      </c>
      <c r="K8" s="21">
        <f>_xlfn.STDEV.P(G15:G26)</f>
        <v/>
      </c>
      <c r="L8" s="8">
        <f>Tabelle24[[#This Row],[σ (Standardabw.)]]/Tabelle24[[#This Row],[Ø (Mittelwert)]]</f>
        <v/>
      </c>
      <c r="M8" s="8">
        <f>IF(L8&lt;0.1,"X",IF(L8&lt;0.25,"Y","Z"))</f>
        <v/>
      </c>
    </row>
    <row r="9">
      <c r="A9" s="24" t="n"/>
      <c r="B9" s="25" t="n"/>
      <c r="C9" s="25" t="n"/>
      <c r="D9" s="26" t="n"/>
      <c r="E9" s="25" t="n"/>
      <c r="F9" s="25" t="n"/>
      <c r="I9" s="24" t="n"/>
      <c r="J9" s="25" t="n"/>
      <c r="K9" s="25" t="n"/>
      <c r="L9" s="26" t="n"/>
      <c r="M9" s="25" t="n"/>
    </row>
    <row r="14">
      <c r="A14" s="81" t="inlineStr">
        <is>
          <t>Month/product</t>
        </is>
      </c>
      <c r="B14" s="81" t="inlineStr">
        <is>
          <t>CT (5-speed)</t>
        </is>
      </c>
      <c r="C14" s="81" t="inlineStr">
        <is>
          <t>CT (6-speed)</t>
        </is>
      </c>
      <c r="D14" s="81" t="inlineStr">
        <is>
          <t>CT (7-speed)</t>
        </is>
      </c>
      <c r="E14" s="81" t="inlineStr">
        <is>
          <t>TT (6-speed)</t>
        </is>
      </c>
      <c r="F14" s="81" t="inlineStr">
        <is>
          <t>TT (7-speed)</t>
        </is>
      </c>
      <c r="G14" s="81" t="inlineStr">
        <is>
          <t>TT (8-speed)</t>
        </is>
      </c>
      <c r="H14" s="86" t="inlineStr">
        <is>
          <t>Gesamt</t>
        </is>
      </c>
      <c r="J14" s="85" t="inlineStr">
        <is>
          <t>Predictive Accuracy</t>
        </is>
      </c>
      <c r="K14" s="86" t="inlineStr">
        <is>
          <t>Percentage of total demand value</t>
        </is>
      </c>
      <c r="L14" s="223" t="n"/>
      <c r="M14" s="224" t="n"/>
    </row>
    <row r="15">
      <c r="A15" s="2" t="n">
        <v>-1</v>
      </c>
      <c r="B15" s="2" t="n">
        <v>391</v>
      </c>
      <c r="C15" s="2" t="n">
        <v>61</v>
      </c>
      <c r="D15" s="2" t="n">
        <v>128</v>
      </c>
      <c r="E15" s="2" t="n">
        <v>227</v>
      </c>
      <c r="F15" s="2" t="n">
        <v>95</v>
      </c>
      <c r="G15" s="2" t="n">
        <v>22</v>
      </c>
      <c r="H15" s="6">
        <f>SUM(B15:G15)</f>
        <v/>
      </c>
      <c r="J15" s="6" t="n"/>
      <c r="K15" s="7" t="inlineStr">
        <is>
          <t>A-Material</t>
        </is>
      </c>
      <c r="L15" s="7" t="inlineStr">
        <is>
          <t>B-Material</t>
        </is>
      </c>
      <c r="M15" s="7" t="inlineStr">
        <is>
          <t>C-Material</t>
        </is>
      </c>
    </row>
    <row r="16">
      <c r="A16" s="2" t="n">
        <v>-2</v>
      </c>
      <c r="B16" s="2" t="n">
        <v>366</v>
      </c>
      <c r="C16" s="2" t="n">
        <v>65</v>
      </c>
      <c r="D16" s="2" t="n">
        <v>78</v>
      </c>
      <c r="E16" s="2" t="n">
        <v>215</v>
      </c>
      <c r="F16" s="2" t="n">
        <v>145</v>
      </c>
      <c r="G16" s="2" t="n">
        <v>18</v>
      </c>
      <c r="H16" s="6">
        <f>SUM(B16:G16)</f>
        <v/>
      </c>
      <c r="J16" s="7" t="inlineStr">
        <is>
          <t>X-Material</t>
        </is>
      </c>
      <c r="K16" s="6" t="n"/>
      <c r="L16" s="6" t="n"/>
      <c r="M16" s="6" t="inlineStr">
        <is>
          <t>CT5, CT6</t>
        </is>
      </c>
    </row>
    <row r="17">
      <c r="A17" s="2" t="n">
        <v>-3</v>
      </c>
      <c r="B17" s="2" t="n">
        <v>402</v>
      </c>
      <c r="C17" s="2" t="n">
        <v>70</v>
      </c>
      <c r="D17" s="2" t="n">
        <v>55</v>
      </c>
      <c r="E17" s="2" t="n">
        <v>333</v>
      </c>
      <c r="F17" s="2" t="n">
        <v>96</v>
      </c>
      <c r="G17" s="2" t="n">
        <v>19</v>
      </c>
      <c r="H17" s="6">
        <f>SUM(B17:G17)</f>
        <v/>
      </c>
      <c r="J17" s="40" t="inlineStr">
        <is>
          <t>Y-Material</t>
        </is>
      </c>
      <c r="K17" s="39" t="inlineStr">
        <is>
          <t>TT6</t>
        </is>
      </c>
      <c r="L17" s="39" t="inlineStr">
        <is>
          <t>TT7. TT8</t>
        </is>
      </c>
      <c r="M17" s="39" t="n"/>
    </row>
    <row r="18">
      <c r="A18" s="2" t="n">
        <v>-4</v>
      </c>
      <c r="B18" s="2" t="n">
        <v>294</v>
      </c>
      <c r="C18" s="2" t="n">
        <v>54</v>
      </c>
      <c r="D18" s="2" t="n">
        <v>96</v>
      </c>
      <c r="E18" s="2" t="n">
        <v>196</v>
      </c>
      <c r="F18" s="2" t="n">
        <v>121</v>
      </c>
      <c r="G18" s="2" t="n">
        <v>23</v>
      </c>
      <c r="H18" s="6">
        <f>SUM(B18:G18)</f>
        <v/>
      </c>
      <c r="J18" s="7" t="inlineStr">
        <is>
          <t>Z-Material</t>
        </is>
      </c>
      <c r="K18" s="6" t="n"/>
      <c r="L18" s="6" t="n"/>
      <c r="M18" s="6" t="inlineStr">
        <is>
          <t>CT7</t>
        </is>
      </c>
    </row>
    <row r="19" ht="15.4" customHeight="1" s="142">
      <c r="A19" s="2" t="n">
        <v>-5</v>
      </c>
      <c r="B19" s="2" t="n">
        <v>359</v>
      </c>
      <c r="C19" s="2" t="n">
        <v>72</v>
      </c>
      <c r="D19" s="2" t="n">
        <v>78</v>
      </c>
      <c r="E19" s="2" t="n">
        <v>310</v>
      </c>
      <c r="F19" s="2" t="n">
        <v>89</v>
      </c>
      <c r="G19" s="2" t="n">
        <v>19</v>
      </c>
      <c r="H19" s="6">
        <f>SUM(B19:G19)</f>
        <v/>
      </c>
      <c r="I19" s="22" t="n"/>
      <c r="K19" s="122" t="inlineStr">
        <is>
          <t>Consumption-Based Pull Strategy</t>
        </is>
      </c>
      <c r="L19" s="225" t="n"/>
      <c r="M19" t="inlineStr">
        <is>
          <t>Sequential Pull Strategy</t>
        </is>
      </c>
    </row>
    <row r="20" ht="15.4" customHeight="1" s="142">
      <c r="A20" s="2" t="n">
        <v>-6</v>
      </c>
      <c r="B20" s="2" t="n">
        <v>356</v>
      </c>
      <c r="C20" s="2" t="n">
        <v>71</v>
      </c>
      <c r="D20" s="2" t="n">
        <v>105</v>
      </c>
      <c r="E20" s="2" t="n">
        <v>273</v>
      </c>
      <c r="F20" s="2" t="n">
        <v>101</v>
      </c>
      <c r="G20" s="2" t="n">
        <v>22</v>
      </c>
      <c r="H20" s="6">
        <f>SUM(B20:G20)</f>
        <v/>
      </c>
      <c r="I20" s="22" t="n"/>
    </row>
    <row r="21" ht="15.4" customHeight="1" s="142">
      <c r="A21" s="2" t="n">
        <v>-7</v>
      </c>
      <c r="B21" s="2" t="n">
        <v>324</v>
      </c>
      <c r="C21" s="2" t="n">
        <v>72</v>
      </c>
      <c r="D21" s="2" t="n">
        <v>111</v>
      </c>
      <c r="E21" s="2" t="n">
        <v>338</v>
      </c>
      <c r="F21" s="2" t="n">
        <v>119</v>
      </c>
      <c r="G21" s="2" t="n">
        <v>16</v>
      </c>
      <c r="H21" s="6">
        <f>SUM(B21:G21)</f>
        <v/>
      </c>
      <c r="I21" s="22" t="n"/>
    </row>
    <row r="22" ht="15.4" customHeight="1" s="142">
      <c r="A22" s="2" t="n">
        <v>-8</v>
      </c>
      <c r="B22" s="2" t="n">
        <v>382</v>
      </c>
      <c r="C22" s="2" t="n">
        <v>71</v>
      </c>
      <c r="D22" s="2" t="n">
        <v>100</v>
      </c>
      <c r="E22" s="2" t="n">
        <v>360</v>
      </c>
      <c r="F22" s="2" t="n">
        <v>142</v>
      </c>
      <c r="G22" s="2" t="n">
        <v>15</v>
      </c>
      <c r="H22" s="6">
        <f>SUM(B22:G22)</f>
        <v/>
      </c>
      <c r="I22" s="22" t="n"/>
    </row>
    <row r="23" ht="15.4" customHeight="1" s="142">
      <c r="A23" s="2" t="n">
        <v>-9</v>
      </c>
      <c r="B23" s="2" t="n">
        <v>353</v>
      </c>
      <c r="C23" s="2" t="n">
        <v>66</v>
      </c>
      <c r="D23" s="2" t="n">
        <v>140</v>
      </c>
      <c r="E23" s="2" t="n">
        <v>318</v>
      </c>
      <c r="F23" s="2" t="n">
        <v>111</v>
      </c>
      <c r="G23" s="2" t="n">
        <v>20</v>
      </c>
      <c r="H23" s="6">
        <f>SUM(B23:G23)</f>
        <v/>
      </c>
      <c r="I23" s="22" t="n"/>
    </row>
    <row r="24" ht="15.4" customHeight="1" s="142">
      <c r="A24" s="2" t="n">
        <v>-10</v>
      </c>
      <c r="B24" s="2" t="n">
        <v>306</v>
      </c>
      <c r="C24" s="2" t="n">
        <v>60</v>
      </c>
      <c r="D24" s="2" t="n">
        <v>33</v>
      </c>
      <c r="E24" s="2" t="n">
        <v>375</v>
      </c>
      <c r="F24" s="2" t="n">
        <v>85</v>
      </c>
      <c r="G24" s="2" t="n">
        <v>11</v>
      </c>
      <c r="H24" s="6">
        <f>SUM(B24:G24)</f>
        <v/>
      </c>
      <c r="I24" s="22" t="n"/>
    </row>
    <row r="25" ht="15.4" customHeight="1" s="142">
      <c r="A25" s="2" t="n">
        <v>-11</v>
      </c>
      <c r="B25" s="2" t="n">
        <v>349</v>
      </c>
      <c r="C25" s="2" t="n">
        <v>70</v>
      </c>
      <c r="D25" s="2" t="n">
        <v>135</v>
      </c>
      <c r="E25" s="2" t="n">
        <v>416</v>
      </c>
      <c r="F25" s="2" t="n">
        <v>80</v>
      </c>
      <c r="G25" s="2" t="n">
        <v>23</v>
      </c>
      <c r="H25" s="6">
        <f>SUM(B25:G25)</f>
        <v/>
      </c>
      <c r="I25" s="22" t="n"/>
    </row>
    <row r="26" ht="15.4" customHeight="1" s="142">
      <c r="A26" s="2" t="n">
        <v>-12</v>
      </c>
      <c r="B26" s="2" t="n">
        <v>352</v>
      </c>
      <c r="C26" s="2" t="n">
        <v>69</v>
      </c>
      <c r="D26" s="2" t="n">
        <v>64</v>
      </c>
      <c r="E26" s="2" t="n">
        <v>291</v>
      </c>
      <c r="F26" s="2" t="n">
        <v>164</v>
      </c>
      <c r="G26" s="2" t="n">
        <v>17</v>
      </c>
      <c r="H26" s="6">
        <f>SUM(B26:G26)</f>
        <v/>
      </c>
      <c r="I26" s="22" t="n"/>
    </row>
    <row r="27">
      <c r="A27" s="6" t="inlineStr">
        <is>
          <t>Summe</t>
        </is>
      </c>
      <c r="B27" s="6">
        <f>SUM(B15:B26)</f>
        <v/>
      </c>
      <c r="C27" s="6">
        <f>SUM(C15:C26)</f>
        <v/>
      </c>
      <c r="D27" s="6">
        <f>SUM(D15:D26)</f>
        <v/>
      </c>
      <c r="E27" s="6">
        <f>SUM(E15:E26)</f>
        <v/>
      </c>
      <c r="F27" s="6">
        <f>SUM(F15:F26)</f>
        <v/>
      </c>
      <c r="G27" s="6">
        <f>SUM(G15:G26)</f>
        <v/>
      </c>
      <c r="H27" s="6">
        <f>SUM(B27:G27)</f>
        <v/>
      </c>
    </row>
    <row r="28">
      <c r="B28" s="26" t="n"/>
      <c r="C28" s="26" t="n"/>
      <c r="D28" s="26" t="n"/>
      <c r="E28" s="26" t="n"/>
      <c r="F28" s="26" t="n"/>
      <c r="G28" s="26" t="n"/>
      <c r="H28" s="28" t="n"/>
    </row>
    <row r="30">
      <c r="A30" s="41" t="inlineStr">
        <is>
          <t>Kombination</t>
        </is>
      </c>
      <c r="B30" s="36" t="inlineStr">
        <is>
          <t>Produkte</t>
        </is>
      </c>
      <c r="C30" s="36" t="inlineStr">
        <is>
          <t>Typische Steuerung</t>
        </is>
      </c>
      <c r="D30" s="42" t="inlineStr">
        <is>
          <t>Erklärung</t>
        </is>
      </c>
    </row>
    <row r="31" ht="57" customHeight="1" s="142">
      <c r="A31" s="72" t="inlineStr">
        <is>
          <t xml:space="preserve">A-Y </t>
        </is>
      </c>
      <c r="B31" s="73" t="inlineStr">
        <is>
          <t>TT6</t>
        </is>
      </c>
      <c r="C31" s="2" t="inlineStr">
        <is>
          <t>Product Specific Kanban + Consumption-based Pull</t>
        </is>
      </c>
      <c r="D31" s="68" t="inlineStr">
        <is>
          <t>Hoher Wert + mittlere Schwankung -&gt; Kernlinie</t>
        </is>
      </c>
    </row>
    <row r="32" ht="71.25" customHeight="1" s="142">
      <c r="A32" s="72" t="inlineStr">
        <is>
          <t>B-Y</t>
        </is>
      </c>
      <c r="B32" s="73" t="inlineStr">
        <is>
          <t>TT7,TT8</t>
        </is>
      </c>
      <c r="C32" s="2" t="inlineStr">
        <is>
          <t>Product Specific Kanban</t>
        </is>
      </c>
      <c r="D32" s="68" t="inlineStr">
        <is>
          <t>Mittlerr Wert, mäßig schwankend -&gt; stabile Serienprodukte</t>
        </is>
      </c>
    </row>
    <row r="33" ht="85.5" customHeight="1" s="142">
      <c r="A33" s="67" t="inlineStr">
        <is>
          <t>C-X</t>
        </is>
      </c>
      <c r="B33" s="2" t="inlineStr">
        <is>
          <t>CT5, CT6</t>
        </is>
      </c>
      <c r="C33" s="2" t="inlineStr">
        <is>
          <t>Consumption-based Pull</t>
        </is>
      </c>
      <c r="D33" s="68" t="inlineStr">
        <is>
          <t>Geringer Wert aber konstante Nachfrage -&gt; einfach nach Verbrauch zu steuern</t>
        </is>
      </c>
    </row>
    <row r="34" ht="71.25" customHeight="1" s="142">
      <c r="A34" s="69" t="inlineStr">
        <is>
          <t>C-Z</t>
        </is>
      </c>
      <c r="B34" s="70" t="inlineStr">
        <is>
          <t>CT7</t>
        </is>
      </c>
      <c r="C34" s="70" t="inlineStr">
        <is>
          <t>Event Kanban / Sequential Pull</t>
        </is>
      </c>
      <c r="D34" s="71" t="inlineStr">
        <is>
          <t>Niedriger Wert + Volatile Nachfrage -&gt; Nur bei Bedarf fertigen</t>
        </is>
      </c>
    </row>
    <row r="36">
      <c r="J36" s="20" t="n"/>
    </row>
    <row r="37">
      <c r="J37" s="20" t="n"/>
    </row>
    <row r="38">
      <c r="B38" s="26" t="n"/>
      <c r="J38" s="20" t="n"/>
    </row>
    <row r="39">
      <c r="B39" s="26" t="n"/>
      <c r="J39" s="20" t="n"/>
    </row>
    <row r="40">
      <c r="B40" s="26" t="n"/>
    </row>
    <row r="41">
      <c r="B41" s="26" t="n"/>
    </row>
    <row r="42">
      <c r="B42" s="26" t="n"/>
    </row>
    <row r="43">
      <c r="B43" s="26" t="n"/>
    </row>
    <row r="53">
      <c r="N53" s="31" t="n"/>
      <c r="O53" s="32" t="n"/>
    </row>
    <row r="54">
      <c r="N54" s="31" t="n"/>
      <c r="O54" s="32" t="n"/>
    </row>
    <row r="55">
      <c r="N55" s="31" t="n"/>
      <c r="O55" s="32" t="n"/>
    </row>
    <row r="56">
      <c r="N56" s="31" t="n"/>
      <c r="O56" s="32" t="n"/>
    </row>
    <row r="57">
      <c r="N57" s="31" t="n"/>
      <c r="O57" s="32" t="n"/>
    </row>
    <row r="58">
      <c r="N58" s="31" t="n"/>
      <c r="O58" s="32" t="n"/>
    </row>
    <row r="59">
      <c r="N59" s="31" t="n"/>
      <c r="O59" s="32" t="n"/>
    </row>
    <row r="60">
      <c r="N60" s="31" t="n"/>
      <c r="O60" s="32" t="n"/>
    </row>
    <row r="61">
      <c r="N61" s="31" t="n"/>
      <c r="O61" s="32" t="n"/>
    </row>
    <row r="62">
      <c r="N62" s="31" t="n"/>
      <c r="O62" s="32" t="n"/>
    </row>
    <row r="63">
      <c r="N63" s="31" t="n"/>
      <c r="O63" s="32" t="n"/>
    </row>
    <row r="64">
      <c r="N64" s="31" t="n"/>
      <c r="O64" s="32" t="n"/>
    </row>
    <row r="65">
      <c r="N65" s="20" t="n"/>
    </row>
    <row r="66">
      <c r="N66" s="20" t="n"/>
    </row>
  </sheetData>
  <mergeCells count="4">
    <mergeCell ref="I1:M1"/>
    <mergeCell ref="K14:M14"/>
    <mergeCell ref="A1:G1"/>
    <mergeCell ref="K19:L19"/>
  </mergeCells>
  <pageMargins left="0.7" right="0.7" top="0.787401575" bottom="0.7874015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7"/>
  <sheetViews>
    <sheetView zoomScale="85" zoomScaleNormal="85" workbookViewId="0">
      <selection activeCell="B15" sqref="B15"/>
    </sheetView>
  </sheetViews>
  <sheetFormatPr baseColWidth="10" defaultRowHeight="14.25"/>
  <cols>
    <col width="17.53125" bestFit="1" customWidth="1" style="142" min="1" max="1"/>
    <col width="13.1328125" bestFit="1" customWidth="1" style="142" min="3" max="3"/>
    <col width="14.86328125" customWidth="1" style="142" min="4" max="4"/>
    <col width="21.19921875" customWidth="1" style="142" min="7" max="7"/>
    <col width="11.19921875" bestFit="1" customWidth="1" style="142" min="8" max="8"/>
    <col width="10.796875" bestFit="1" customWidth="1" style="142" min="9" max="11"/>
    <col width="10.796875" bestFit="1" customWidth="1" style="142" min="13" max="14"/>
  </cols>
  <sheetData>
    <row r="1" ht="57" customHeight="1" s="142">
      <c r="A1" s="82" t="inlineStr">
        <is>
          <t>Produkt</t>
        </is>
      </c>
      <c r="B1" s="82" t="inlineStr">
        <is>
          <t>Setupzeit</t>
        </is>
      </c>
      <c r="C1" s="82" t="inlineStr">
        <is>
          <t>Produktionszeit</t>
        </is>
      </c>
      <c r="D1" s="81" t="inlineStr">
        <is>
          <t>Maximum number of Kanbans per Pitch</t>
        </is>
      </c>
      <c r="E1" s="81" t="inlineStr">
        <is>
          <t>Zeitverlust durch Schichtrest</t>
        </is>
      </c>
      <c r="F1" s="81" t="inlineStr">
        <is>
          <t>Zeitverlust durch Pitch pro Produkt</t>
        </is>
      </c>
      <c r="G1" s="81" t="inlineStr">
        <is>
          <t>Zeitverlust Gesamt</t>
        </is>
      </c>
      <c r="I1" s="128" t="n"/>
    </row>
    <row r="2">
      <c r="A2" s="6" t="inlineStr">
        <is>
          <t>CT5</t>
        </is>
      </c>
      <c r="B2" s="6" t="n">
        <v>1</v>
      </c>
      <c r="C2" s="6" t="n">
        <v>14</v>
      </c>
      <c r="D2" s="75">
        <f>INT($B$14/C2)</f>
        <v/>
      </c>
      <c r="E2" s="6">
        <f>($B$13-INT($B$13/$B$14)*$B$14)*2</f>
        <v/>
      </c>
      <c r="F2" s="34">
        <f>IF(MOD($B$14/C2,1)=0,0,($B$14-$D$2*$C$2)*INT(H19/D2))</f>
        <v/>
      </c>
      <c r="G2" s="34">
        <f>F2</f>
        <v/>
      </c>
      <c r="I2" s="129" t="n"/>
    </row>
    <row r="3">
      <c r="A3" s="6" t="inlineStr">
        <is>
          <t>CT6</t>
        </is>
      </c>
      <c r="B3" s="6" t="n">
        <v>1</v>
      </c>
      <c r="C3" s="6" t="n">
        <v>20</v>
      </c>
      <c r="D3" s="75">
        <f>INT($B$14/C3)</f>
        <v/>
      </c>
      <c r="E3" s="6">
        <f>($B$13-INT($B$13/$B$14)*$B$14)*2</f>
        <v/>
      </c>
      <c r="F3" s="34">
        <f>IF(MOD($B$14/C3,1)=0,0,($B$14-D3*C3)*INT(I19/D3))</f>
        <v/>
      </c>
      <c r="G3" s="34">
        <f>F3</f>
        <v/>
      </c>
      <c r="H3" s="32" t="n"/>
      <c r="I3" s="226" t="n"/>
    </row>
    <row r="4">
      <c r="A4" s="6" t="inlineStr">
        <is>
          <t>CT7</t>
        </is>
      </c>
      <c r="B4" s="6" t="n">
        <v>1</v>
      </c>
      <c r="C4" s="6" t="n">
        <v>25</v>
      </c>
      <c r="D4" s="75">
        <f>INT($B$14/C4)</f>
        <v/>
      </c>
      <c r="E4" s="6">
        <f>($B$13-INT($B$13/$B$14)*$B$14)*2</f>
        <v/>
      </c>
      <c r="F4" s="34">
        <f>IF(MOD($B$14/C4,1)=0,0,($B$14-D4*C4)*INT(J19/D4))</f>
        <v/>
      </c>
      <c r="G4" s="34">
        <f>F4</f>
        <v/>
      </c>
      <c r="H4" s="227" t="n"/>
      <c r="I4" s="226" t="n"/>
    </row>
    <row r="5">
      <c r="A5" s="6" t="inlineStr">
        <is>
          <t>TT6</t>
        </is>
      </c>
      <c r="B5" s="6" t="n">
        <v>2</v>
      </c>
      <c r="C5" s="6" t="n">
        <v>16</v>
      </c>
      <c r="D5" s="75">
        <f>INT($B$14/C5)</f>
        <v/>
      </c>
      <c r="E5" s="6">
        <f>($B$13-INT($B$13/$B$14)*$B$14)*2</f>
        <v/>
      </c>
      <c r="F5" s="34">
        <f>IF(MOD($B$14/C5,1)=0,0,($B$14-D5*C5)*INT(K19/D5))</f>
        <v/>
      </c>
      <c r="G5" s="34">
        <f>F5</f>
        <v/>
      </c>
      <c r="H5" s="227" t="n"/>
      <c r="I5" s="226" t="n"/>
    </row>
    <row r="6">
      <c r="A6" s="6" t="inlineStr">
        <is>
          <t>TT7</t>
        </is>
      </c>
      <c r="B6" s="6" t="n">
        <v>2</v>
      </c>
      <c r="C6" s="6" t="n">
        <v>25</v>
      </c>
      <c r="D6" s="75">
        <f>INT($B$14/C6)</f>
        <v/>
      </c>
      <c r="E6" s="6">
        <f>($B$13-INT($B$13/$B$14)*$B$14)*2</f>
        <v/>
      </c>
      <c r="F6" s="34">
        <f>IF(MOD($B$14/C6,1)=0,0,($B$14-D6*C6)*INT(L19/D6))</f>
        <v/>
      </c>
      <c r="G6" s="34">
        <f>F6</f>
        <v/>
      </c>
      <c r="H6" s="227" t="n"/>
      <c r="I6" s="226" t="n"/>
    </row>
    <row r="7">
      <c r="A7" s="6" t="inlineStr">
        <is>
          <t>TT8</t>
        </is>
      </c>
      <c r="B7" s="6" t="n">
        <v>2</v>
      </c>
      <c r="C7" s="6" t="n">
        <v>28</v>
      </c>
      <c r="D7" s="75">
        <f>INT($B$14/C7)</f>
        <v/>
      </c>
      <c r="E7" s="6">
        <f>($B$13-INT($B$13/$B$14)*$B$14)*2</f>
        <v/>
      </c>
      <c r="F7" s="34">
        <f>IF(MOD($B$14/C7,1)=0,0,($B$14-D7*C7)*INT(M19/D7))</f>
        <v/>
      </c>
      <c r="G7" s="34">
        <f>F7</f>
        <v/>
      </c>
      <c r="H7" s="227" t="n"/>
      <c r="I7" s="129" t="n"/>
    </row>
    <row r="8">
      <c r="A8" s="7" t="inlineStr">
        <is>
          <t>Summe</t>
        </is>
      </c>
      <c r="B8" s="19" t="n"/>
      <c r="C8" s="223" t="n"/>
      <c r="D8" s="223" t="n"/>
      <c r="E8" s="224" t="n"/>
      <c r="F8" s="34">
        <f>SUM(F2:F7)</f>
        <v/>
      </c>
      <c r="G8" s="34">
        <f>SUM(G2:G7)+E2</f>
        <v/>
      </c>
    </row>
    <row r="11">
      <c r="I11" t="inlineStr">
        <is>
          <t> </t>
        </is>
      </c>
    </row>
    <row r="12">
      <c r="A12" s="6" t="inlineStr">
        <is>
          <t>Minimal Wasted Time</t>
        </is>
      </c>
      <c r="B12" s="76">
        <f> MIN(B26:B97)</f>
        <v/>
      </c>
    </row>
    <row r="13">
      <c r="A13" s="6" t="inlineStr">
        <is>
          <t>Length of Shift</t>
        </is>
      </c>
      <c r="B13" s="6" t="n">
        <v>420</v>
      </c>
    </row>
    <row r="14">
      <c r="A14" s="6" t="inlineStr">
        <is>
          <t xml:space="preserve">Initial Length of Pitch </t>
        </is>
      </c>
      <c r="B14" s="6" t="n">
        <v>28</v>
      </c>
    </row>
    <row r="15">
      <c r="A15" s="88" t="inlineStr">
        <is>
          <t>Final Length of Pitch</t>
        </is>
      </c>
      <c r="B15" s="88">
        <f>INDEX(A26:A97,MATCH(B12,B26:B97,0))</f>
        <v/>
      </c>
    </row>
    <row r="17" ht="57" customHeight="1" s="142">
      <c r="A17" s="83" t="inlineStr">
        <is>
          <t>Produkt</t>
        </is>
      </c>
      <c r="B17" s="83" t="inlineStr">
        <is>
          <t>Setupzeit</t>
        </is>
      </c>
      <c r="C17" s="83" t="inlineStr">
        <is>
          <t>Produktionszeit</t>
        </is>
      </c>
      <c r="D17" s="84" t="inlineStr">
        <is>
          <t>Maximum number of Kanbans per Pitch</t>
        </is>
      </c>
      <c r="G17" s="85" t="n"/>
      <c r="H17" s="81" t="inlineStr">
        <is>
          <t>CT (5-speed)</t>
        </is>
      </c>
      <c r="I17" s="81" t="inlineStr">
        <is>
          <t>CT (6-speed)</t>
        </is>
      </c>
      <c r="J17" s="81" t="inlineStr">
        <is>
          <t>CT (7-speed)</t>
        </is>
      </c>
      <c r="K17" s="82" t="inlineStr">
        <is>
          <t>TT (6-speed)</t>
        </is>
      </c>
      <c r="L17" s="82" t="inlineStr">
        <is>
          <t>TT (7-speed)</t>
        </is>
      </c>
      <c r="M17" s="82" t="inlineStr">
        <is>
          <t>TT (8-speed)</t>
        </is>
      </c>
      <c r="N17" s="86" t="inlineStr">
        <is>
          <t>Gesamt</t>
        </is>
      </c>
    </row>
    <row r="18">
      <c r="A18" s="6" t="inlineStr">
        <is>
          <t>CT5</t>
        </is>
      </c>
      <c r="B18" s="6">
        <f>1+2+5+5+1+2</f>
        <v/>
      </c>
      <c r="C18" s="6">
        <f>13.5+5+12+10+4+14</f>
        <v/>
      </c>
      <c r="D18" s="34">
        <f>INT($B$14/C18)</f>
        <v/>
      </c>
      <c r="G18" s="6" t="inlineStr">
        <is>
          <t>Total Demand</t>
        </is>
      </c>
      <c r="H18" s="6" t="n">
        <v>4234</v>
      </c>
      <c r="I18" s="6" t="n">
        <v>801</v>
      </c>
      <c r="J18" s="6" t="n">
        <v>1123</v>
      </c>
      <c r="K18" s="6" t="n">
        <v>3652</v>
      </c>
      <c r="L18" s="6" t="n">
        <v>1348</v>
      </c>
      <c r="M18" s="6" t="n">
        <v>225</v>
      </c>
      <c r="N18" s="6" t="n">
        <v>11383</v>
      </c>
    </row>
    <row r="19">
      <c r="A19" s="6" t="inlineStr">
        <is>
          <t>CT6</t>
        </is>
      </c>
      <c r="B19" s="6">
        <f>1+2+5+5+2+1</f>
        <v/>
      </c>
      <c r="C19" s="6">
        <f>13.5+5+12+10+5+20</f>
        <v/>
      </c>
      <c r="D19" s="34">
        <f>INT($B$14/C19)</f>
        <v/>
      </c>
      <c r="G19" s="6" t="inlineStr">
        <is>
          <t>Durchschnitt/Tag</t>
        </is>
      </c>
      <c r="H19" s="228">
        <f>INT(4234/240)</f>
        <v/>
      </c>
      <c r="I19" s="228">
        <f>INT(801/240)</f>
        <v/>
      </c>
      <c r="J19" s="228">
        <f>INT(1123/240)</f>
        <v/>
      </c>
      <c r="K19" s="228">
        <f>INT(3652/240)</f>
        <v/>
      </c>
      <c r="L19" s="228">
        <f>INT(1348/240)</f>
        <v/>
      </c>
      <c r="M19" s="228">
        <f>225/240</f>
        <v/>
      </c>
      <c r="N19" s="228">
        <f>11383/240</f>
        <v/>
      </c>
    </row>
    <row r="20">
      <c r="A20" s="6" t="inlineStr">
        <is>
          <t>CT7</t>
        </is>
      </c>
      <c r="B20" s="6">
        <f>1+2+5+5+2+1</f>
        <v/>
      </c>
      <c r="C20" s="6">
        <f>13.5+5+12+10+5+25</f>
        <v/>
      </c>
      <c r="D20" s="34">
        <f>INT($B$14/C20)</f>
        <v/>
      </c>
      <c r="H20" s="5" t="n"/>
      <c r="I20" s="5" t="n"/>
      <c r="J20" s="5" t="n"/>
      <c r="K20" s="5" t="n"/>
      <c r="L20" s="5" t="n"/>
      <c r="M20" s="5" t="n"/>
    </row>
    <row r="21">
      <c r="A21" s="6" t="inlineStr">
        <is>
          <t>TT6</t>
        </is>
      </c>
      <c r="B21" s="6">
        <f>1+2+5+5+3+2</f>
        <v/>
      </c>
      <c r="C21" s="6">
        <f>13.5+5+12+10+5+16</f>
        <v/>
      </c>
      <c r="D21" s="34">
        <f>INT($B$14/C21)</f>
        <v/>
      </c>
      <c r="H21" s="5" t="n"/>
      <c r="I21" s="5" t="n"/>
      <c r="J21" s="5" t="n"/>
      <c r="K21" s="5" t="n"/>
      <c r="L21" s="5" t="n"/>
      <c r="M21" s="5" t="n"/>
    </row>
    <row r="22">
      <c r="A22" s="6" t="inlineStr">
        <is>
          <t>TT7</t>
        </is>
      </c>
      <c r="B22" s="6">
        <f>1+2+5+5+3+2</f>
        <v/>
      </c>
      <c r="C22" s="6">
        <f>13.5+5+12+10+6+25</f>
        <v/>
      </c>
      <c r="D22" s="34">
        <f>INT($B$14/C22)</f>
        <v/>
      </c>
      <c r="H22" s="5" t="n"/>
      <c r="I22" s="5" t="n"/>
      <c r="J22" s="5" t="n"/>
      <c r="K22" s="5" t="n"/>
      <c r="L22" s="5" t="n"/>
      <c r="M22" s="5" t="n"/>
    </row>
    <row r="23">
      <c r="A23" s="6" t="inlineStr">
        <is>
          <t>TT8</t>
        </is>
      </c>
      <c r="B23" s="6">
        <f>1+2+5+5+3+2</f>
        <v/>
      </c>
      <c r="C23" s="6">
        <f>13.5+5+12+10+8+28</f>
        <v/>
      </c>
      <c r="D23" s="34">
        <f>INT($B$14/C23)</f>
        <v/>
      </c>
      <c r="H23" s="5" t="n"/>
      <c r="I23" s="5" t="n"/>
      <c r="J23" s="5" t="n"/>
      <c r="K23" s="5" t="n"/>
      <c r="L23" s="5" t="n"/>
      <c r="M23" s="5" t="n"/>
    </row>
    <row r="24">
      <c r="H24" s="5" t="n"/>
      <c r="I24" s="5" t="n"/>
      <c r="J24" s="5" t="n"/>
      <c r="K24" s="5" t="n"/>
      <c r="L24" s="5" t="n"/>
      <c r="M24" s="5" t="n"/>
    </row>
    <row r="25" ht="28.5" customHeight="1" s="142">
      <c r="A25" s="81" t="inlineStr">
        <is>
          <t xml:space="preserve">Length of Pitch </t>
        </is>
      </c>
      <c r="B25" s="87" t="inlineStr">
        <is>
          <t>Zeitverlust Gesamt</t>
        </is>
      </c>
      <c r="C25" s="79" t="n"/>
      <c r="H25" s="5" t="n"/>
      <c r="I25" s="5" t="n"/>
      <c r="J25" s="5" t="n"/>
      <c r="K25" s="5" t="n"/>
      <c r="L25" s="5" t="n"/>
      <c r="M25" s="5" t="n"/>
    </row>
    <row r="26">
      <c r="A26" s="6" t="n">
        <v>28</v>
      </c>
      <c r="B26" s="78">
        <f>$G$8</f>
        <v/>
      </c>
      <c r="C26" s="80" t="n"/>
      <c r="H26" s="5" t="n"/>
      <c r="I26" s="5" t="n"/>
      <c r="J26" s="5" t="n"/>
      <c r="K26" s="5" t="n"/>
      <c r="L26" s="5" t="n"/>
      <c r="M26" s="5" t="n"/>
    </row>
    <row r="27">
      <c r="A27" s="6" t="n">
        <v>29</v>
      </c>
      <c r="B27" s="78">
        <f t="dataTable" ref="B27:B97" dt2D="0" dtr="0" r1="B14"/>
        <v/>
      </c>
      <c r="C27" s="80" t="n"/>
      <c r="H27" s="5" t="n"/>
      <c r="I27" s="5" t="n"/>
      <c r="J27" s="5" t="n"/>
      <c r="K27" s="5" t="n"/>
      <c r="L27" s="5" t="n"/>
      <c r="M27" s="5" t="n"/>
    </row>
    <row r="28">
      <c r="A28" s="6" t="n">
        <v>30</v>
      </c>
      <c r="B28" s="76" t="n">
        <v>301</v>
      </c>
      <c r="H28" s="5" t="n"/>
      <c r="I28" s="5" t="n"/>
      <c r="J28" s="5" t="n"/>
      <c r="K28" s="5" t="n"/>
      <c r="L28" s="5" t="n"/>
      <c r="M28" s="5" t="n"/>
    </row>
    <row r="29">
      <c r="A29" s="6" t="n">
        <v>31</v>
      </c>
      <c r="B29" s="76" t="n">
        <v>370</v>
      </c>
      <c r="H29" s="5" t="n"/>
      <c r="I29" s="5" t="n"/>
      <c r="J29" s="5" t="n"/>
      <c r="K29" s="5" t="n"/>
      <c r="L29" s="5" t="n"/>
      <c r="M29" s="5" t="n"/>
    </row>
    <row r="30">
      <c r="A30" s="6" t="n">
        <v>32</v>
      </c>
      <c r="B30" s="76" t="n">
        <v>139</v>
      </c>
    </row>
    <row r="31">
      <c r="A31" s="6" t="n">
        <v>33</v>
      </c>
      <c r="B31" s="76" t="n">
        <v>206</v>
      </c>
    </row>
    <row r="32">
      <c r="A32" s="6" t="n">
        <v>34</v>
      </c>
      <c r="B32" s="76" t="n">
        <v>209</v>
      </c>
    </row>
    <row r="33">
      <c r="A33" s="6" t="n">
        <v>35</v>
      </c>
      <c r="B33" s="76" t="n">
        <v>212</v>
      </c>
    </row>
    <row r="34">
      <c r="A34" s="6" t="n">
        <v>36</v>
      </c>
      <c r="B34" s="76" t="n">
        <v>287</v>
      </c>
    </row>
    <row r="35">
      <c r="A35" s="6" t="n">
        <v>37</v>
      </c>
      <c r="B35" s="76" t="n">
        <v>292</v>
      </c>
    </row>
    <row r="36">
      <c r="A36" s="6" t="n">
        <v>38</v>
      </c>
      <c r="B36" s="76" t="n">
        <v>297</v>
      </c>
    </row>
    <row r="37">
      <c r="A37" s="6" t="n">
        <v>39</v>
      </c>
      <c r="B37" s="76" t="n">
        <v>380</v>
      </c>
    </row>
    <row r="38">
      <c r="A38" s="6" t="n">
        <v>40</v>
      </c>
      <c r="B38" s="76" t="n">
        <v>327</v>
      </c>
    </row>
    <row r="39">
      <c r="A39" s="6" t="n">
        <v>41</v>
      </c>
      <c r="B39" s="76" t="n">
        <v>332</v>
      </c>
    </row>
    <row r="40">
      <c r="A40" s="6" t="n">
        <v>42</v>
      </c>
      <c r="B40" s="76" t="n">
        <v>225</v>
      </c>
    </row>
    <row r="41">
      <c r="A41" s="6" t="n">
        <v>43</v>
      </c>
      <c r="B41" s="76" t="n">
        <v>313</v>
      </c>
    </row>
    <row r="42">
      <c r="A42" s="6" t="n">
        <v>44</v>
      </c>
      <c r="B42" s="76" t="n">
        <v>317</v>
      </c>
    </row>
    <row r="43">
      <c r="A43" s="6" t="n">
        <v>45</v>
      </c>
      <c r="B43" s="76" t="n">
        <v>321</v>
      </c>
    </row>
    <row r="44">
      <c r="A44" s="6" t="n">
        <v>46</v>
      </c>
      <c r="B44" s="76" t="n">
        <v>325</v>
      </c>
    </row>
    <row r="45">
      <c r="A45" s="6" t="n">
        <v>47</v>
      </c>
      <c r="B45" s="76" t="n">
        <v>423</v>
      </c>
    </row>
    <row r="46">
      <c r="A46" s="6" t="n">
        <v>48</v>
      </c>
      <c r="B46" s="76" t="n">
        <v>317</v>
      </c>
    </row>
    <row r="47">
      <c r="A47" s="6" t="n">
        <v>49</v>
      </c>
      <c r="B47" s="76" t="n">
        <v>321</v>
      </c>
    </row>
    <row r="48">
      <c r="A48" s="6" t="n">
        <v>50</v>
      </c>
      <c r="B48" s="76" t="n">
        <v>100</v>
      </c>
    </row>
    <row r="49">
      <c r="A49" s="6" t="n">
        <v>51</v>
      </c>
      <c r="B49" s="76" t="n">
        <v>99</v>
      </c>
    </row>
    <row r="50">
      <c r="A50" s="6" t="n">
        <v>52</v>
      </c>
      <c r="B50" s="76" t="n">
        <v>98</v>
      </c>
    </row>
    <row r="51">
      <c r="A51" s="6" t="n">
        <v>53</v>
      </c>
      <c r="B51" s="76" t="n">
        <v>203</v>
      </c>
    </row>
    <row r="52">
      <c r="A52" s="6" t="n">
        <v>54</v>
      </c>
      <c r="B52" s="76" t="n">
        <v>204</v>
      </c>
    </row>
    <row r="53">
      <c r="A53" s="6" t="n">
        <v>55</v>
      </c>
      <c r="B53" s="76" t="n">
        <v>205</v>
      </c>
    </row>
    <row r="54">
      <c r="A54" s="6" t="n">
        <v>56</v>
      </c>
      <c r="B54" s="76" t="n">
        <v>136</v>
      </c>
    </row>
    <row r="55">
      <c r="A55" s="6" t="n">
        <v>57</v>
      </c>
      <c r="B55" s="6" t="n">
        <v>136</v>
      </c>
    </row>
    <row r="56">
      <c r="A56" s="6" t="n">
        <v>58</v>
      </c>
      <c r="B56" s="6" t="n">
        <v>136</v>
      </c>
    </row>
    <row r="57">
      <c r="A57" s="6" t="n">
        <v>59</v>
      </c>
      <c r="B57" s="6" t="n">
        <v>136</v>
      </c>
    </row>
    <row r="58">
      <c r="A58" s="6" t="n">
        <v>60</v>
      </c>
      <c r="B58" s="6" t="n">
        <v>116</v>
      </c>
    </row>
    <row r="59">
      <c r="A59" s="6" t="n">
        <v>61</v>
      </c>
      <c r="B59" s="6" t="n">
        <v>238</v>
      </c>
    </row>
    <row r="60">
      <c r="A60" s="6" t="n">
        <v>62</v>
      </c>
      <c r="B60" s="6" t="n">
        <v>240</v>
      </c>
    </row>
    <row r="61">
      <c r="A61" s="6" t="n">
        <v>63</v>
      </c>
      <c r="B61" s="6" t="n">
        <v>242</v>
      </c>
    </row>
    <row r="62">
      <c r="A62" s="6" t="n">
        <v>64</v>
      </c>
      <c r="B62" s="6" t="n">
        <v>164</v>
      </c>
    </row>
    <row r="63">
      <c r="A63" s="6" t="n">
        <v>65</v>
      </c>
      <c r="B63" s="6" t="n">
        <v>164</v>
      </c>
    </row>
    <row r="64">
      <c r="A64" s="6" t="n">
        <v>66</v>
      </c>
      <c r="B64" s="6" t="n">
        <v>164</v>
      </c>
    </row>
    <row r="65">
      <c r="A65" s="6" t="n">
        <v>67</v>
      </c>
      <c r="B65" s="6" t="n">
        <v>164</v>
      </c>
    </row>
    <row r="66">
      <c r="A66" s="6" t="n">
        <v>68</v>
      </c>
      <c r="B66" s="6" t="n">
        <v>164</v>
      </c>
    </row>
    <row r="67">
      <c r="A67" s="6" t="n">
        <v>69</v>
      </c>
      <c r="B67" s="6" t="n">
        <v>164</v>
      </c>
    </row>
    <row r="68">
      <c r="A68" s="6" t="n">
        <v>70</v>
      </c>
      <c r="B68" s="6" t="n">
        <v>108</v>
      </c>
    </row>
    <row r="69">
      <c r="A69" s="6" t="n">
        <v>71</v>
      </c>
      <c r="B69" s="6" t="n">
        <v>249</v>
      </c>
    </row>
    <row r="70">
      <c r="A70" s="6" t="n">
        <v>72</v>
      </c>
      <c r="B70" s="6" t="n">
        <v>250</v>
      </c>
    </row>
    <row r="71">
      <c r="A71" s="6" t="n">
        <v>73</v>
      </c>
      <c r="B71" s="6" t="n">
        <v>251</v>
      </c>
    </row>
    <row r="72">
      <c r="A72" s="6" t="n">
        <v>74</v>
      </c>
      <c r="B72" s="6" t="n">
        <v>252</v>
      </c>
    </row>
    <row r="73">
      <c r="A73" s="6" t="n">
        <v>75</v>
      </c>
      <c r="B73" s="6" t="n">
        <v>153</v>
      </c>
    </row>
    <row r="74">
      <c r="A74" s="6" t="n">
        <v>76</v>
      </c>
      <c r="B74" s="6" t="n">
        <v>152</v>
      </c>
    </row>
    <row r="75">
      <c r="A75" s="6" t="n">
        <v>77</v>
      </c>
      <c r="B75" s="6" t="n">
        <v>151</v>
      </c>
    </row>
    <row r="76">
      <c r="A76" s="6" t="n">
        <v>78</v>
      </c>
      <c r="B76" s="6" t="n">
        <v>150</v>
      </c>
    </row>
    <row r="77">
      <c r="A77" s="6" t="n">
        <v>79</v>
      </c>
      <c r="B77" s="6" t="n">
        <v>149</v>
      </c>
    </row>
    <row r="78">
      <c r="A78" s="6" t="n">
        <v>80</v>
      </c>
      <c r="B78" s="6" t="n">
        <v>80</v>
      </c>
    </row>
    <row r="79">
      <c r="A79" s="6" t="n">
        <v>81</v>
      </c>
      <c r="B79" s="6" t="n">
        <v>78</v>
      </c>
    </row>
    <row r="80">
      <c r="A80" s="6" t="n">
        <v>82</v>
      </c>
      <c r="B80" s="6" t="n">
        <v>76</v>
      </c>
    </row>
    <row r="81">
      <c r="A81" s="6" t="n">
        <v>83</v>
      </c>
      <c r="B81" s="6" t="n">
        <v>74</v>
      </c>
    </row>
    <row r="82">
      <c r="A82" s="6" t="n">
        <v>84</v>
      </c>
      <c r="B82" s="6" t="n">
        <v>30</v>
      </c>
    </row>
    <row r="83">
      <c r="A83" s="6" t="n">
        <v>85</v>
      </c>
      <c r="B83" s="6" t="n">
        <v>197</v>
      </c>
    </row>
    <row r="84">
      <c r="A84" s="6" t="n">
        <v>86</v>
      </c>
      <c r="B84" s="6" t="n">
        <v>196</v>
      </c>
    </row>
    <row r="85">
      <c r="A85" s="6" t="n">
        <v>87</v>
      </c>
      <c r="B85" s="6" t="n">
        <v>195</v>
      </c>
    </row>
    <row r="86">
      <c r="A86" s="6" t="n">
        <v>88</v>
      </c>
      <c r="B86" s="6" t="n">
        <v>194</v>
      </c>
    </row>
    <row r="87">
      <c r="A87" s="6" t="n">
        <v>89</v>
      </c>
      <c r="B87" s="6" t="n">
        <v>193</v>
      </c>
    </row>
    <row r="88">
      <c r="A88" s="6" t="n">
        <v>90</v>
      </c>
      <c r="B88" s="6" t="n">
        <v>192</v>
      </c>
    </row>
    <row r="89">
      <c r="A89" s="6" t="n">
        <v>91</v>
      </c>
      <c r="B89" s="6" t="n">
        <v>191</v>
      </c>
    </row>
    <row r="90">
      <c r="A90" s="6" t="n">
        <v>92</v>
      </c>
      <c r="B90" s="6" t="n">
        <v>190</v>
      </c>
    </row>
    <row r="91">
      <c r="A91" s="6" t="n">
        <v>93</v>
      </c>
      <c r="B91" s="6" t="n">
        <v>189</v>
      </c>
    </row>
    <row r="92">
      <c r="A92" s="6" t="n">
        <v>94</v>
      </c>
      <c r="B92" s="6" t="n">
        <v>188</v>
      </c>
    </row>
    <row r="93">
      <c r="A93" s="6" t="n">
        <v>95</v>
      </c>
      <c r="B93" s="6" t="n">
        <v>187</v>
      </c>
    </row>
    <row r="94">
      <c r="A94" s="6" t="n">
        <v>96</v>
      </c>
      <c r="B94" s="6" t="n">
        <v>138</v>
      </c>
    </row>
    <row r="95">
      <c r="A95" s="6" t="n">
        <v>97</v>
      </c>
      <c r="B95" s="6" t="n">
        <v>136</v>
      </c>
    </row>
    <row r="96">
      <c r="A96" s="6" t="n">
        <v>98</v>
      </c>
      <c r="B96" s="6" t="n">
        <v>106</v>
      </c>
    </row>
    <row r="97">
      <c r="A97" s="6" t="n">
        <v>99</v>
      </c>
      <c r="B97" s="6" t="n">
        <v>104</v>
      </c>
    </row>
  </sheetData>
  <mergeCells count="1">
    <mergeCell ref="B8:E8"/>
  </mergeCells>
  <dataValidations count="1">
    <dataValidation sqref="B14" showDropDown="0" showInputMessage="1" showErrorMessage="1" allowBlank="1" type="list">
      <formula1>"28,32,40,50,56,60,84"</formula1>
    </dataValidation>
  </dataValidations>
  <pageMargins left="0.7" right="0.7" top="0.787401575" bottom="0.7874015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zoomScaleNormal="100" workbookViewId="0">
      <selection activeCell="N2" sqref="N2"/>
    </sheetView>
  </sheetViews>
  <sheetFormatPr baseColWidth="10" defaultRowHeight="14.25"/>
  <cols>
    <col width="14.3984375" bestFit="1" customWidth="1" style="142" min="1" max="1"/>
    <col width="20.1328125" customWidth="1" style="142" min="2" max="2"/>
    <col width="17.1328125" customWidth="1" style="142" min="3" max="3"/>
    <col width="18.86328125" customWidth="1" style="142" min="4" max="4"/>
    <col width="11" customWidth="1" style="142" min="5" max="5"/>
    <col width="13.6640625" customWidth="1" style="142" min="6" max="6"/>
    <col width="11.59765625" customWidth="1" style="142" min="7" max="7"/>
    <col width="17.73046875" customWidth="1" style="142" min="8" max="8"/>
    <col width="11.265625" bestFit="1" customWidth="1" style="142" min="9" max="9"/>
    <col width="18.73046875" customWidth="1" style="142" min="10" max="10"/>
    <col width="10.53125" customWidth="1" style="142" min="11" max="11"/>
    <col width="13.53125" customWidth="1" style="142" min="12" max="12"/>
    <col width="12.6640625" customWidth="1" style="142" min="13" max="13"/>
  </cols>
  <sheetData>
    <row r="1" ht="31.25" customHeight="1" s="142">
      <c r="A1" s="115" t="inlineStr">
        <is>
          <t>Produkt</t>
        </is>
      </c>
      <c r="B1" s="84" t="inlineStr">
        <is>
          <t>Durchschnittliche Nachfrage (monatlich)</t>
        </is>
      </c>
      <c r="C1" s="84" t="inlineStr">
        <is>
          <t>Durchnittliche Nachfrage (täglich)</t>
        </is>
      </c>
      <c r="D1" s="89" t="inlineStr">
        <is>
          <t>Variabilität (Standardbweichung )</t>
        </is>
      </c>
      <c r="E1" s="89" t="inlineStr">
        <is>
          <t>Pitch Length (min)</t>
        </is>
      </c>
      <c r="F1" s="84" t="inlineStr">
        <is>
          <t>Gesamtzahl Pitches im Horizont (NPpT)</t>
        </is>
      </c>
      <c r="G1" s="84" t="inlineStr">
        <is>
          <t>Anzahl Base Periods NBT</t>
        </is>
      </c>
      <c r="H1" s="84" t="inlineStr">
        <is>
          <t>Average pitches per Base Period NPpBP)</t>
        </is>
      </c>
      <c r="I1" s="89" t="inlineStr">
        <is>
          <t>Cycle Length CLp</t>
        </is>
      </c>
      <c r="J1" s="84" t="inlineStr">
        <is>
          <t>Standardabweichung der Tagesnachfrage</t>
        </is>
      </c>
      <c r="K1" s="89" t="inlineStr">
        <is>
          <t>Cycle Stock Cp</t>
        </is>
      </c>
      <c r="L1" s="89" t="inlineStr">
        <is>
          <t>Safety Stock Sp</t>
        </is>
      </c>
      <c r="M1" s="89" t="inlineStr">
        <is>
          <t>Total Kanbans Kp</t>
        </is>
      </c>
      <c r="N1" s="89" t="inlineStr">
        <is>
          <t>Green Zone</t>
        </is>
      </c>
      <c r="O1" s="89" t="inlineStr">
        <is>
          <t>Yellow Zone</t>
        </is>
      </c>
      <c r="P1" s="89" t="inlineStr">
        <is>
          <t>Red Zone</t>
        </is>
      </c>
      <c r="Q1" s="116" t="inlineStr">
        <is>
          <t>Event Kanban</t>
        </is>
      </c>
    </row>
    <row r="2">
      <c r="A2" s="6" t="inlineStr">
        <is>
          <t>CT 5</t>
        </is>
      </c>
      <c r="B2" s="6">
        <f>INT(B24/12)</f>
        <v/>
      </c>
      <c r="C2" s="6">
        <f>INT(B24/240)</f>
        <v/>
      </c>
      <c r="D2" s="114">
        <f>_xlfn.STDEV.P(B12:B23)</f>
        <v/>
      </c>
      <c r="E2" s="6" t="n">
        <v>84</v>
      </c>
      <c r="F2" s="34">
        <f> B24/M12</f>
        <v/>
      </c>
      <c r="G2" s="6" t="n">
        <v>240</v>
      </c>
      <c r="H2" s="34">
        <f>F2/G2</f>
        <v/>
      </c>
      <c r="I2" s="34">
        <f>1/H2</f>
        <v/>
      </c>
      <c r="J2" s="229">
        <f> D2/SQRT(20)</f>
        <v/>
      </c>
      <c r="K2" s="76">
        <f> ROUNDUP(B24/G2,0)</f>
        <v/>
      </c>
      <c r="L2" s="76">
        <f>ROUNDUP( $B$30 * J2 * SQRT(I2),0)</f>
        <v/>
      </c>
      <c r="M2" s="76">
        <f> ROUNDUP(K2 +L2,0)</f>
        <v/>
      </c>
      <c r="N2" s="6" t="n">
        <v>1</v>
      </c>
      <c r="O2" s="76">
        <f>ROUNDUP(K2,0)-N2</f>
        <v/>
      </c>
      <c r="P2" s="76">
        <f>ROUNDUP(L2,0)</f>
        <v/>
      </c>
      <c r="Q2" s="73" t="n"/>
    </row>
    <row r="3">
      <c r="A3" s="6" t="inlineStr">
        <is>
          <t>CT 6</t>
        </is>
      </c>
      <c r="B3" s="6">
        <f>INT(C24/12)</f>
        <v/>
      </c>
      <c r="C3" s="6">
        <f>INT(C24/240)</f>
        <v/>
      </c>
      <c r="D3" s="114">
        <f>_xlfn.STDEV.P(C12:C23)</f>
        <v/>
      </c>
      <c r="E3" s="6" t="n">
        <v>84</v>
      </c>
      <c r="F3" s="34">
        <f> C24/M13</f>
        <v/>
      </c>
      <c r="G3" s="6" t="n">
        <v>240</v>
      </c>
      <c r="H3" s="34">
        <f>F3/G3</f>
        <v/>
      </c>
      <c r="I3" s="34">
        <f>1/H3</f>
        <v/>
      </c>
      <c r="J3" s="229">
        <f> D3/SQRT(20)</f>
        <v/>
      </c>
      <c r="K3" s="76">
        <f>ROUNDUP(C24/G3,0)</f>
        <v/>
      </c>
      <c r="L3" s="76">
        <f>ROUNDUP( $B$30 * J3 * SQRT(I3),0)</f>
        <v/>
      </c>
      <c r="M3" s="76">
        <f> ROUNDUP(K3 +L3,0)</f>
        <v/>
      </c>
      <c r="N3" s="6" t="n">
        <v>1</v>
      </c>
      <c r="O3" s="76">
        <f>ROUNDUP(K3,0)-N3</f>
        <v/>
      </c>
      <c r="P3" s="76">
        <f>ROUNDUP(L3,0)</f>
        <v/>
      </c>
      <c r="Q3" s="73" t="n"/>
    </row>
    <row r="4">
      <c r="A4" s="6" t="inlineStr">
        <is>
          <t>CT 7</t>
        </is>
      </c>
      <c r="B4" s="6">
        <f>INT(D24/12)</f>
        <v/>
      </c>
      <c r="C4" s="6">
        <f>INT(D24/240)</f>
        <v/>
      </c>
      <c r="D4" s="114">
        <f>_xlfn.STDEV.P(D12:D23)</f>
        <v/>
      </c>
      <c r="E4" s="6" t="n">
        <v>84</v>
      </c>
      <c r="F4" s="34">
        <f> D24/M14</f>
        <v/>
      </c>
      <c r="G4" s="6" t="n">
        <v>240</v>
      </c>
      <c r="H4" s="34">
        <f>F4/G4</f>
        <v/>
      </c>
      <c r="I4" s="34">
        <f>1/H4</f>
        <v/>
      </c>
      <c r="J4" s="229">
        <f> D4/SQRT(20)</f>
        <v/>
      </c>
      <c r="K4" s="76">
        <f>ROUNDUP(D24/G4,0)</f>
        <v/>
      </c>
      <c r="L4" s="76">
        <f>ROUNDUP( $B$30 * J4 * SQRT(I4),0)</f>
        <v/>
      </c>
      <c r="M4" s="76">
        <f> ROUNDUP(K4 +L4,0)</f>
        <v/>
      </c>
      <c r="N4" s="6" t="n">
        <v>1</v>
      </c>
      <c r="O4" s="76">
        <f>ROUNDUP(K4,0)-N4</f>
        <v/>
      </c>
      <c r="P4" s="76">
        <f>ROUNDUP(L4,0)</f>
        <v/>
      </c>
      <c r="Q4" s="75" t="inlineStr">
        <is>
          <t>X</t>
        </is>
      </c>
    </row>
    <row r="5">
      <c r="A5" s="6" t="inlineStr">
        <is>
          <t>TT 6</t>
        </is>
      </c>
      <c r="B5" s="6">
        <f>INT(E24/12)</f>
        <v/>
      </c>
      <c r="C5" s="6">
        <f>INT(E24/240)</f>
        <v/>
      </c>
      <c r="D5" s="114">
        <f>_xlfn.STDEV.P(E12:E23)</f>
        <v/>
      </c>
      <c r="E5" s="6" t="n">
        <v>84</v>
      </c>
      <c r="F5" s="34">
        <f> E24/M15</f>
        <v/>
      </c>
      <c r="G5" s="6" t="n">
        <v>240</v>
      </c>
      <c r="H5" s="34">
        <f>F5/G5</f>
        <v/>
      </c>
      <c r="I5" s="34">
        <f>1/H5</f>
        <v/>
      </c>
      <c r="J5" s="229">
        <f> D5/SQRT(20)</f>
        <v/>
      </c>
      <c r="K5" s="76">
        <f>ROUNDUP(E24/G5,0)</f>
        <v/>
      </c>
      <c r="L5" s="76">
        <f>ROUNDUP( $B$30 * J5 * SQRT(I5),0)</f>
        <v/>
      </c>
      <c r="M5" s="76">
        <f> ROUNDUP(K5 +L5,0)</f>
        <v/>
      </c>
      <c r="N5" s="6" t="n">
        <v>1</v>
      </c>
      <c r="O5" s="76">
        <f>ROUNDUP(K5,0)-N5</f>
        <v/>
      </c>
      <c r="P5" s="76">
        <f>ROUNDUP(L5,0)</f>
        <v/>
      </c>
      <c r="Q5" s="73" t="n"/>
    </row>
    <row r="6">
      <c r="A6" s="6" t="inlineStr">
        <is>
          <t>TT 7</t>
        </is>
      </c>
      <c r="B6" s="6">
        <f>INT(F24/12)</f>
        <v/>
      </c>
      <c r="C6" s="6">
        <f>INT(F24/240)</f>
        <v/>
      </c>
      <c r="D6" s="114">
        <f>_xlfn.STDEV.P(F12:F23)</f>
        <v/>
      </c>
      <c r="E6" s="6" t="n">
        <v>84</v>
      </c>
      <c r="F6" s="34">
        <f> F24/M16</f>
        <v/>
      </c>
      <c r="G6" s="6" t="n">
        <v>240</v>
      </c>
      <c r="H6" s="34">
        <f>F6/G6</f>
        <v/>
      </c>
      <c r="I6" s="34">
        <f>1/H6</f>
        <v/>
      </c>
      <c r="J6" s="229">
        <f> D6/SQRT(20)</f>
        <v/>
      </c>
      <c r="K6" s="76">
        <f>ROUNDUP(F24/G6,0)</f>
        <v/>
      </c>
      <c r="L6" s="76">
        <f>ROUNDUP( $B$30 * J6 * SQRT(I6),0)</f>
        <v/>
      </c>
      <c r="M6" s="76">
        <f> ROUNDUP(K6 +L6,0)</f>
        <v/>
      </c>
      <c r="N6" s="6" t="n">
        <v>1</v>
      </c>
      <c r="O6" s="76">
        <f>ROUNDUP(K6,0)-N6</f>
        <v/>
      </c>
      <c r="P6" s="76">
        <f>ROUNDUP(L6,0)</f>
        <v/>
      </c>
      <c r="Q6" s="73" t="n"/>
    </row>
    <row r="7">
      <c r="A7" s="6" t="inlineStr">
        <is>
          <t>TT 8</t>
        </is>
      </c>
      <c r="B7" s="6">
        <f>INT(G24/12)</f>
        <v/>
      </c>
      <c r="C7" s="76">
        <f>(G24/240)</f>
        <v/>
      </c>
      <c r="D7" s="114">
        <f>_xlfn.STDEV.P(G12:G23)</f>
        <v/>
      </c>
      <c r="E7" s="6" t="n">
        <v>84</v>
      </c>
      <c r="F7" s="34">
        <f> G24/M17</f>
        <v/>
      </c>
      <c r="G7" s="6" t="n">
        <v>240</v>
      </c>
      <c r="H7" s="34">
        <f>F7/G7</f>
        <v/>
      </c>
      <c r="I7" s="34">
        <f>1/H7</f>
        <v/>
      </c>
      <c r="J7" s="229">
        <f> D7/SQRT(20)</f>
        <v/>
      </c>
      <c r="K7" s="76">
        <f>ROUNDUP(G24/G7,0)</f>
        <v/>
      </c>
      <c r="L7" s="76">
        <f>ROUNDUP( $B$30 * J7 * SQRT(I7),0)</f>
        <v/>
      </c>
      <c r="M7" s="76">
        <f> ROUNDUP(K7 +L7,0)</f>
        <v/>
      </c>
      <c r="N7" s="6" t="n">
        <v>1</v>
      </c>
      <c r="O7" s="76">
        <f>ROUNDUP(K7,0)-N7</f>
        <v/>
      </c>
      <c r="P7" s="76">
        <f>ROUNDUP(L7,0)</f>
        <v/>
      </c>
      <c r="Q7" s="73" t="n"/>
    </row>
    <row r="11" ht="57" customHeight="1" s="142">
      <c r="A11" s="81" t="inlineStr">
        <is>
          <t>Month/product</t>
        </is>
      </c>
      <c r="B11" s="81" t="inlineStr">
        <is>
          <t>CT (5-speed)</t>
        </is>
      </c>
      <c r="C11" s="81" t="inlineStr">
        <is>
          <t>CT (6-speed)</t>
        </is>
      </c>
      <c r="D11" s="81" t="inlineStr">
        <is>
          <t>CT (7-speed)</t>
        </is>
      </c>
      <c r="E11" s="81" t="inlineStr">
        <is>
          <t>TT (6-speed)</t>
        </is>
      </c>
      <c r="F11" s="81" t="inlineStr">
        <is>
          <t>TT (7-speed)</t>
        </is>
      </c>
      <c r="G11" s="81" t="inlineStr">
        <is>
          <t>TT (8-speed)</t>
        </is>
      </c>
      <c r="H11" s="82" t="inlineStr">
        <is>
          <t>Gesamt</t>
        </is>
      </c>
      <c r="J11" s="82" t="inlineStr">
        <is>
          <t>Produkt</t>
        </is>
      </c>
      <c r="K11" s="82" t="inlineStr">
        <is>
          <t>Setupzeit</t>
        </is>
      </c>
      <c r="L11" s="82" t="inlineStr">
        <is>
          <t>Produktionszeit</t>
        </is>
      </c>
      <c r="M11" s="81" t="inlineStr">
        <is>
          <t>Maximum number of Kanbans per Pitch</t>
        </is>
      </c>
      <c r="N11" s="81" t="inlineStr">
        <is>
          <t>Zeitverlust durch Schichtrest</t>
        </is>
      </c>
      <c r="O11" s="81" t="inlineStr">
        <is>
          <t>Zeitverlust durch Pitch pro Produkt</t>
        </is>
      </c>
      <c r="P11" s="81" t="inlineStr">
        <is>
          <t>Zeitverlust Gesamt</t>
        </is>
      </c>
    </row>
    <row r="12">
      <c r="A12" s="2" t="n">
        <v>-1</v>
      </c>
      <c r="B12" s="2" t="n">
        <v>391</v>
      </c>
      <c r="C12" s="2" t="n">
        <v>61</v>
      </c>
      <c r="D12" s="2" t="n">
        <v>128</v>
      </c>
      <c r="E12" s="2" t="n">
        <v>227</v>
      </c>
      <c r="F12" s="2" t="n">
        <v>95</v>
      </c>
      <c r="G12" s="2" t="n">
        <v>22</v>
      </c>
      <c r="H12" s="6">
        <f>SUM(B12:G12)</f>
        <v/>
      </c>
      <c r="J12" s="6" t="inlineStr">
        <is>
          <t>CT5</t>
        </is>
      </c>
      <c r="K12" s="6" t="n">
        <v>1</v>
      </c>
      <c r="L12" s="6" t="n">
        <v>14</v>
      </c>
      <c r="M12" s="75" t="n">
        <v>6</v>
      </c>
      <c r="N12" s="19" t="n">
        <v>0</v>
      </c>
      <c r="O12" s="111" t="n">
        <v>0</v>
      </c>
      <c r="P12" s="34" t="n">
        <v>0</v>
      </c>
    </row>
    <row r="13">
      <c r="A13" s="2" t="n">
        <v>-2</v>
      </c>
      <c r="B13" s="2" t="n">
        <v>366</v>
      </c>
      <c r="C13" s="2" t="n">
        <v>65</v>
      </c>
      <c r="D13" s="2" t="n">
        <v>78</v>
      </c>
      <c r="E13" s="2" t="n">
        <v>215</v>
      </c>
      <c r="F13" s="2" t="n">
        <v>145</v>
      </c>
      <c r="G13" s="2" t="n">
        <v>18</v>
      </c>
      <c r="H13" s="6">
        <f>SUM(B13:G13)</f>
        <v/>
      </c>
      <c r="J13" s="6" t="inlineStr">
        <is>
          <t>CT6</t>
        </is>
      </c>
      <c r="K13" s="6" t="n">
        <v>1</v>
      </c>
      <c r="L13" s="6" t="n">
        <v>20</v>
      </c>
      <c r="M13" s="75" t="n">
        <v>4</v>
      </c>
      <c r="N13" s="19" t="n">
        <v>0</v>
      </c>
      <c r="O13" s="111" t="n">
        <v>0</v>
      </c>
      <c r="P13" s="34" t="n">
        <v>0</v>
      </c>
    </row>
    <row r="14">
      <c r="A14" s="2" t="n">
        <v>-3</v>
      </c>
      <c r="B14" s="2" t="n">
        <v>402</v>
      </c>
      <c r="C14" s="2" t="n">
        <v>70</v>
      </c>
      <c r="D14" s="2" t="n">
        <v>55</v>
      </c>
      <c r="E14" s="2" t="n">
        <v>333</v>
      </c>
      <c r="F14" s="2" t="n">
        <v>96</v>
      </c>
      <c r="G14" s="2" t="n">
        <v>19</v>
      </c>
      <c r="H14" s="6">
        <f>SUM(B14:G14)</f>
        <v/>
      </c>
      <c r="J14" s="6" t="inlineStr">
        <is>
          <t>CT7</t>
        </is>
      </c>
      <c r="K14" s="6" t="n">
        <v>1</v>
      </c>
      <c r="L14" s="6" t="n">
        <v>25</v>
      </c>
      <c r="M14" s="75" t="n">
        <v>3</v>
      </c>
      <c r="N14" s="19" t="n">
        <v>0</v>
      </c>
      <c r="O14" s="111" t="n">
        <v>9</v>
      </c>
      <c r="P14" s="34" t="n">
        <v>9</v>
      </c>
    </row>
    <row r="15">
      <c r="A15" s="2" t="n">
        <v>-4</v>
      </c>
      <c r="B15" s="2" t="n">
        <v>294</v>
      </c>
      <c r="C15" s="2" t="n">
        <v>54</v>
      </c>
      <c r="D15" s="2" t="n">
        <v>96</v>
      </c>
      <c r="E15" s="2" t="n">
        <v>196</v>
      </c>
      <c r="F15" s="2" t="n">
        <v>121</v>
      </c>
      <c r="G15" s="2" t="n">
        <v>23</v>
      </c>
      <c r="H15" s="6">
        <f>SUM(B15:G15)</f>
        <v/>
      </c>
      <c r="J15" s="6" t="inlineStr">
        <is>
          <t>TT6</t>
        </is>
      </c>
      <c r="K15" s="6" t="n">
        <v>2</v>
      </c>
      <c r="L15" s="6" t="n">
        <v>16</v>
      </c>
      <c r="M15" s="75" t="n">
        <v>5</v>
      </c>
      <c r="N15" s="19" t="n">
        <v>0</v>
      </c>
      <c r="O15" s="111" t="n">
        <v>12</v>
      </c>
      <c r="P15" s="34" t="n">
        <v>12</v>
      </c>
    </row>
    <row r="16">
      <c r="A16" s="2" t="n">
        <v>-5</v>
      </c>
      <c r="B16" s="2" t="n">
        <v>359</v>
      </c>
      <c r="C16" s="2" t="n">
        <v>72</v>
      </c>
      <c r="D16" s="2" t="n">
        <v>78</v>
      </c>
      <c r="E16" s="2" t="n">
        <v>310</v>
      </c>
      <c r="F16" s="2" t="n">
        <v>89</v>
      </c>
      <c r="G16" s="2" t="n">
        <v>19</v>
      </c>
      <c r="H16" s="6">
        <f>SUM(B16:G16)</f>
        <v/>
      </c>
      <c r="J16" s="6" t="inlineStr">
        <is>
          <t>TT7</t>
        </is>
      </c>
      <c r="K16" s="6" t="n">
        <v>2</v>
      </c>
      <c r="L16" s="6" t="n">
        <v>25</v>
      </c>
      <c r="M16" s="75" t="n">
        <v>3</v>
      </c>
      <c r="N16" s="19" t="n">
        <v>0</v>
      </c>
      <c r="O16" s="111" t="n">
        <v>9</v>
      </c>
      <c r="P16" s="34" t="n">
        <v>9</v>
      </c>
    </row>
    <row r="17">
      <c r="A17" s="2" t="n">
        <v>-6</v>
      </c>
      <c r="B17" s="2" t="n">
        <v>356</v>
      </c>
      <c r="C17" s="2" t="n">
        <v>71</v>
      </c>
      <c r="D17" s="2" t="n">
        <v>105</v>
      </c>
      <c r="E17" s="2" t="n">
        <v>273</v>
      </c>
      <c r="F17" s="2" t="n">
        <v>101</v>
      </c>
      <c r="G17" s="2" t="n">
        <v>22</v>
      </c>
      <c r="H17" s="6">
        <f>SUM(B17:G17)</f>
        <v/>
      </c>
      <c r="J17" s="6" t="inlineStr">
        <is>
          <t>TT8</t>
        </is>
      </c>
      <c r="K17" s="6" t="n">
        <v>2</v>
      </c>
      <c r="L17" s="6" t="n">
        <v>28</v>
      </c>
      <c r="M17" s="75" t="n">
        <v>3</v>
      </c>
      <c r="N17" s="19" t="n">
        <v>0</v>
      </c>
      <c r="O17" s="111" t="n">
        <v>0</v>
      </c>
      <c r="P17" s="34" t="n">
        <v>0</v>
      </c>
    </row>
    <row r="18">
      <c r="A18" s="2" t="n">
        <v>-7</v>
      </c>
      <c r="B18" s="2" t="n">
        <v>324</v>
      </c>
      <c r="C18" s="2" t="n">
        <v>72</v>
      </c>
      <c r="D18" s="2" t="n">
        <v>111</v>
      </c>
      <c r="E18" s="2" t="n">
        <v>338</v>
      </c>
      <c r="F18" s="2" t="n">
        <v>119</v>
      </c>
      <c r="G18" s="2" t="n">
        <v>16</v>
      </c>
      <c r="H18" s="6">
        <f>SUM(B18:G18)</f>
        <v/>
      </c>
      <c r="J18" s="7" t="inlineStr">
        <is>
          <t>Summe</t>
        </is>
      </c>
      <c r="K18" s="19" t="n"/>
      <c r="L18" s="223" t="n"/>
      <c r="M18" s="223" t="n"/>
      <c r="N18" s="224" t="n"/>
      <c r="O18" s="111" t="n">
        <v>30</v>
      </c>
      <c r="P18" s="34" t="n">
        <v>30</v>
      </c>
    </row>
    <row r="19">
      <c r="A19" s="2" t="n">
        <v>-8</v>
      </c>
      <c r="B19" s="2" t="n">
        <v>382</v>
      </c>
      <c r="C19" s="2" t="n">
        <v>71</v>
      </c>
      <c r="D19" s="2" t="n">
        <v>100</v>
      </c>
      <c r="E19" s="2" t="n">
        <v>360</v>
      </c>
      <c r="F19" s="2" t="n">
        <v>142</v>
      </c>
      <c r="G19" s="2" t="n">
        <v>15</v>
      </c>
      <c r="H19" s="6">
        <f>SUM(B19:G19)</f>
        <v/>
      </c>
    </row>
    <row r="20">
      <c r="A20" s="2" t="n">
        <v>-9</v>
      </c>
      <c r="B20" s="2" t="n">
        <v>353</v>
      </c>
      <c r="C20" s="2" t="n">
        <v>66</v>
      </c>
      <c r="D20" s="2" t="n">
        <v>140</v>
      </c>
      <c r="E20" s="2" t="n">
        <v>318</v>
      </c>
      <c r="F20" s="2" t="n">
        <v>111</v>
      </c>
      <c r="G20" s="2" t="n">
        <v>20</v>
      </c>
      <c r="H20" s="6">
        <f>SUM(B20:G20)</f>
        <v/>
      </c>
    </row>
    <row r="21">
      <c r="A21" s="2" t="n">
        <v>-10</v>
      </c>
      <c r="B21" s="2" t="n">
        <v>306</v>
      </c>
      <c r="C21" s="2" t="n">
        <v>60</v>
      </c>
      <c r="D21" s="2" t="n">
        <v>33</v>
      </c>
      <c r="E21" s="2" t="n">
        <v>375</v>
      </c>
      <c r="F21" s="2" t="n">
        <v>85</v>
      </c>
      <c r="G21" s="2" t="n">
        <v>11</v>
      </c>
      <c r="H21" s="6">
        <f>SUM(B21:G21)</f>
        <v/>
      </c>
    </row>
    <row r="22">
      <c r="A22" s="2" t="n">
        <v>-11</v>
      </c>
      <c r="B22" s="2" t="n">
        <v>349</v>
      </c>
      <c r="C22" s="2" t="n">
        <v>70</v>
      </c>
      <c r="D22" s="2" t="n">
        <v>135</v>
      </c>
      <c r="E22" s="2" t="n">
        <v>416</v>
      </c>
      <c r="F22" s="2" t="n">
        <v>80</v>
      </c>
      <c r="G22" s="2" t="n">
        <v>23</v>
      </c>
      <c r="H22" s="6">
        <f>SUM(B22:G22)</f>
        <v/>
      </c>
    </row>
    <row r="23">
      <c r="A23" s="2" t="n">
        <v>-12</v>
      </c>
      <c r="B23" s="2" t="n">
        <v>352</v>
      </c>
      <c r="C23" s="2" t="n">
        <v>69</v>
      </c>
      <c r="D23" s="2" t="n">
        <v>64</v>
      </c>
      <c r="E23" s="2" t="n">
        <v>291</v>
      </c>
      <c r="F23" s="2" t="n">
        <v>164</v>
      </c>
      <c r="G23" s="2" t="n">
        <v>17</v>
      </c>
      <c r="H23" s="6">
        <f>SUM(B23:G23)</f>
        <v/>
      </c>
    </row>
    <row r="24">
      <c r="A24" s="6" t="inlineStr">
        <is>
          <t>Summe</t>
        </is>
      </c>
      <c r="B24" s="6">
        <f>SUM(B12:B23)</f>
        <v/>
      </c>
      <c r="C24" s="6">
        <f>SUM(C12:C23)</f>
        <v/>
      </c>
      <c r="D24" s="6">
        <f>SUM(D12:D23)</f>
        <v/>
      </c>
      <c r="E24" s="6">
        <f>SUM(E12:E23)</f>
        <v/>
      </c>
      <c r="F24" s="6">
        <f>SUM(F12:F23)</f>
        <v/>
      </c>
      <c r="G24" s="6">
        <f>SUM(G12:G23)</f>
        <v/>
      </c>
      <c r="H24" s="6">
        <f>SUM(B24:G24)</f>
        <v/>
      </c>
    </row>
    <row r="28">
      <c r="A28" s="117" t="inlineStr">
        <is>
          <t>Planungshorizont</t>
        </is>
      </c>
      <c r="B28" s="6" t="inlineStr">
        <is>
          <t>240 Arbeitstage</t>
        </is>
      </c>
      <c r="C28" s="6" t="n"/>
    </row>
    <row r="29">
      <c r="A29" s="117" t="inlineStr">
        <is>
          <t>Base Period</t>
        </is>
      </c>
      <c r="B29" s="6" t="inlineStr">
        <is>
          <t>840min</t>
        </is>
      </c>
      <c r="C29" s="6" t="n"/>
    </row>
    <row r="30">
      <c r="A30" s="117" t="inlineStr">
        <is>
          <t>Servicelefelfaktor kp</t>
        </is>
      </c>
      <c r="B30" s="6" t="n">
        <v>2.576</v>
      </c>
      <c r="C30" s="118" t="n">
        <v>0.995</v>
      </c>
    </row>
    <row r="31">
      <c r="A31" s="117" t="inlineStr">
        <is>
          <t>Anzahl Slots</t>
        </is>
      </c>
      <c r="B31" s="76">
        <f> SUM(M2:M7)</f>
        <v/>
      </c>
      <c r="C31" s="6" t="n"/>
    </row>
  </sheetData>
  <mergeCells count="1">
    <mergeCell ref="K18:N18"/>
  </mergeCells>
  <pageMargins left="0.7" right="0.7" top="0.787401575" bottom="0.7874015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S14" sqref="S14"/>
    </sheetView>
  </sheetViews>
  <sheetFormatPr baseColWidth="10" defaultRowHeight="14.25"/>
  <cols>
    <col width="18.796875" bestFit="1" customWidth="1" style="142" min="1" max="1"/>
    <col width="12.86328125" bestFit="1" customWidth="1" style="142" min="10" max="10"/>
  </cols>
  <sheetData>
    <row r="1" ht="42.75" customHeight="1" s="142">
      <c r="A1" s="52" t="inlineStr">
        <is>
          <t xml:space="preserve">Bill Of Material (BOM) </t>
        </is>
      </c>
      <c r="B1" s="50" t="inlineStr">
        <is>
          <t>CT5</t>
        </is>
      </c>
      <c r="C1" s="50" t="inlineStr">
        <is>
          <t>CT6</t>
        </is>
      </c>
      <c r="D1" s="50" t="inlineStr">
        <is>
          <t>CT7</t>
        </is>
      </c>
      <c r="E1" s="50" t="inlineStr">
        <is>
          <t>TT6</t>
        </is>
      </c>
      <c r="F1" s="50" t="inlineStr">
        <is>
          <t>TT7</t>
        </is>
      </c>
      <c r="G1" s="50" t="inlineStr">
        <is>
          <t>TT8</t>
        </is>
      </c>
      <c r="H1" s="51" t="inlineStr">
        <is>
          <t>Total</t>
        </is>
      </c>
      <c r="J1" s="65" t="inlineStr">
        <is>
          <t>FG</t>
        </is>
      </c>
      <c r="K1" s="50" t="inlineStr">
        <is>
          <t>Yearly demand</t>
        </is>
      </c>
      <c r="L1" s="50" t="inlineStr">
        <is>
          <t>Unit price (€ per unit)</t>
        </is>
      </c>
      <c r="M1" s="50" t="inlineStr">
        <is>
          <t>Total value</t>
        </is>
      </c>
      <c r="N1" s="50" t="inlineStr">
        <is>
          <t>Percentage of total value</t>
        </is>
      </c>
      <c r="O1" s="51" t="inlineStr">
        <is>
          <t>Percentage of total quantity</t>
        </is>
      </c>
    </row>
    <row r="2" ht="28.5" customHeight="1" s="142">
      <c r="A2" s="126" t="inlineStr">
        <is>
          <t>Dichtungsringe</t>
        </is>
      </c>
      <c r="B2" s="19" t="n">
        <v>6</v>
      </c>
      <c r="C2" s="19" t="n">
        <v>7</v>
      </c>
      <c r="D2" s="19" t="n">
        <v>4</v>
      </c>
      <c r="E2" s="19" t="n">
        <v>8</v>
      </c>
      <c r="F2" s="19" t="n">
        <v>12</v>
      </c>
      <c r="G2" s="19" t="n">
        <v>14</v>
      </c>
      <c r="H2" s="53">
        <f>SUM(B2:G2)</f>
        <v/>
      </c>
      <c r="J2" s="57" t="inlineStr">
        <is>
          <t>CT (5-speed)</t>
        </is>
      </c>
      <c r="K2" s="19" t="n">
        <v>4234</v>
      </c>
      <c r="L2" s="58" t="n">
        <v>1000</v>
      </c>
      <c r="M2" s="58">
        <f>K2*L2</f>
        <v/>
      </c>
      <c r="N2" s="59">
        <f>M2/$M$8</f>
        <v/>
      </c>
      <c r="O2" s="60">
        <f>K2/$K$8</f>
        <v/>
      </c>
    </row>
    <row r="3" ht="28.5" customHeight="1" s="142">
      <c r="A3" s="126" t="inlineStr">
        <is>
          <t>Schrauben</t>
        </is>
      </c>
      <c r="B3" s="19" t="n">
        <v>12</v>
      </c>
      <c r="C3" s="19" t="n">
        <v>15</v>
      </c>
      <c r="D3" s="19" t="n">
        <v>18</v>
      </c>
      <c r="E3" s="19" t="n">
        <v>20</v>
      </c>
      <c r="F3" s="19" t="n">
        <v>25</v>
      </c>
      <c r="G3" s="19" t="n">
        <v>30</v>
      </c>
      <c r="H3" s="53">
        <f>SUM(B3:G3)</f>
        <v/>
      </c>
      <c r="J3" s="57" t="inlineStr">
        <is>
          <t>CT (6-speed)</t>
        </is>
      </c>
      <c r="K3" s="19" t="n">
        <v>801</v>
      </c>
      <c r="L3" s="58" t="n">
        <v>1500</v>
      </c>
      <c r="M3" s="58">
        <f>K3*L3</f>
        <v/>
      </c>
      <c r="N3" s="59">
        <f>M3/$M$8</f>
        <v/>
      </c>
      <c r="O3" s="60">
        <f>K3/$K$8</f>
        <v/>
      </c>
    </row>
    <row r="4" ht="28.5" customHeight="1" s="142">
      <c r="A4" s="126" t="inlineStr">
        <is>
          <t>Gehäuse</t>
        </is>
      </c>
      <c r="B4" s="19" t="n">
        <v>1</v>
      </c>
      <c r="C4" s="19" t="n">
        <v>1</v>
      </c>
      <c r="D4" s="19" t="n">
        <v>1</v>
      </c>
      <c r="E4" s="19" t="n">
        <v>1</v>
      </c>
      <c r="F4" s="19" t="n">
        <v>1</v>
      </c>
      <c r="G4" s="19" t="n">
        <v>1</v>
      </c>
      <c r="H4" s="53">
        <f>SUM(B4:G4)</f>
        <v/>
      </c>
      <c r="J4" s="57" t="inlineStr">
        <is>
          <t>CT (7-speed)</t>
        </is>
      </c>
      <c r="K4" s="19" t="n">
        <v>1123</v>
      </c>
      <c r="L4" s="58" t="n">
        <v>3000</v>
      </c>
      <c r="M4" s="58">
        <f>K4*L4</f>
        <v/>
      </c>
      <c r="N4" s="59">
        <f>M4/$M$8</f>
        <v/>
      </c>
      <c r="O4" s="60">
        <f>K4/$K$8</f>
        <v/>
      </c>
    </row>
    <row r="5">
      <c r="A5" s="126" t="inlineStr">
        <is>
          <t>Antriebswelle (5-Gang)</t>
        </is>
      </c>
      <c r="B5" s="19" t="n">
        <v>1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53">
        <f>SUM(B5:G5)</f>
        <v/>
      </c>
      <c r="J5" s="57" t="inlineStr">
        <is>
          <t>TT (6-speed)</t>
        </is>
      </c>
      <c r="K5" s="19" t="n">
        <v>3652</v>
      </c>
      <c r="L5" s="58" t="n">
        <v>14000</v>
      </c>
      <c r="M5" s="58">
        <f>K5*L5</f>
        <v/>
      </c>
      <c r="N5" s="59">
        <f>M5/$M$8</f>
        <v/>
      </c>
      <c r="O5" s="60">
        <f>K5/$K$8</f>
        <v/>
      </c>
    </row>
    <row r="6">
      <c r="A6" s="126" t="inlineStr">
        <is>
          <t>Antriebswelle (6-Gang)</t>
        </is>
      </c>
      <c r="B6" s="19" t="n">
        <v>0</v>
      </c>
      <c r="C6" s="19" t="n">
        <v>1</v>
      </c>
      <c r="D6" s="19" t="n">
        <v>0</v>
      </c>
      <c r="E6" s="19" t="n">
        <v>1</v>
      </c>
      <c r="F6" s="19" t="n">
        <v>0</v>
      </c>
      <c r="G6" s="19" t="n">
        <v>0</v>
      </c>
      <c r="H6" s="53">
        <f>SUM(B6:G6)</f>
        <v/>
      </c>
      <c r="J6" s="57" t="inlineStr">
        <is>
          <t>TT (7-speed)</t>
        </is>
      </c>
      <c r="K6" s="19" t="n">
        <v>1348</v>
      </c>
      <c r="L6" s="58" t="n">
        <v>18000</v>
      </c>
      <c r="M6" s="58">
        <f>K6*L6</f>
        <v/>
      </c>
      <c r="N6" s="59">
        <f>M6/$M$8</f>
        <v/>
      </c>
      <c r="O6" s="60">
        <f>K6/$K$8</f>
        <v/>
      </c>
    </row>
    <row r="7">
      <c r="A7" s="126" t="inlineStr">
        <is>
          <t>Antriebswelle (7-Gang)</t>
        </is>
      </c>
      <c r="B7" s="19" t="n">
        <v>0</v>
      </c>
      <c r="C7" s="19" t="n">
        <v>0</v>
      </c>
      <c r="D7" s="19" t="n">
        <v>1</v>
      </c>
      <c r="E7" s="19" t="n">
        <v>0</v>
      </c>
      <c r="F7" s="19" t="n">
        <v>1</v>
      </c>
      <c r="G7" s="19" t="n">
        <v>0</v>
      </c>
      <c r="H7" s="53">
        <f>SUM(B7:G7)</f>
        <v/>
      </c>
      <c r="J7" s="57" t="inlineStr">
        <is>
          <t>TT (8-speed)</t>
        </is>
      </c>
      <c r="K7" s="19" t="n">
        <v>225</v>
      </c>
      <c r="L7" s="58" t="n">
        <v>25000</v>
      </c>
      <c r="M7" s="58">
        <f>K7*L7</f>
        <v/>
      </c>
      <c r="N7" s="59">
        <f>M7/$M$8</f>
        <v/>
      </c>
      <c r="O7" s="60">
        <f>K7/$K$8</f>
        <v/>
      </c>
    </row>
    <row r="8">
      <c r="A8" s="54" t="inlineStr">
        <is>
          <t>Antriebswelle (8-Gang)</t>
        </is>
      </c>
      <c r="B8" s="55" t="n">
        <v>0</v>
      </c>
      <c r="C8" s="55" t="n">
        <v>0</v>
      </c>
      <c r="D8" s="55" t="n">
        <v>0</v>
      </c>
      <c r="E8" s="55" t="n">
        <v>0</v>
      </c>
      <c r="F8" s="55" t="n">
        <v>0</v>
      </c>
      <c r="G8" s="55" t="n">
        <v>1</v>
      </c>
      <c r="H8" s="56">
        <f>SUM(B8:G8)</f>
        <v/>
      </c>
      <c r="J8" s="4" t="inlineStr">
        <is>
          <t>Total</t>
        </is>
      </c>
      <c r="K8" s="61">
        <f>SUM(K2:K7)</f>
        <v/>
      </c>
      <c r="L8" s="61" t="n"/>
      <c r="M8" s="62">
        <f>SUM(M2:M7)</f>
        <v/>
      </c>
      <c r="N8" s="63">
        <f>SUM(N2:N7)</f>
        <v/>
      </c>
      <c r="O8" s="64">
        <f>SUM(O2:O7)</f>
        <v/>
      </c>
    </row>
    <row r="11" ht="28.5" customHeight="1" s="142">
      <c r="A11" s="81" t="inlineStr">
        <is>
          <t>Month/product</t>
        </is>
      </c>
      <c r="B11" s="81" t="inlineStr">
        <is>
          <t>CT5</t>
        </is>
      </c>
      <c r="C11" s="81" t="inlineStr">
        <is>
          <t>CT6</t>
        </is>
      </c>
      <c r="D11" s="81" t="inlineStr">
        <is>
          <t>CT7</t>
        </is>
      </c>
      <c r="E11" s="81" t="inlineStr">
        <is>
          <t>TT6</t>
        </is>
      </c>
      <c r="F11" s="81" t="inlineStr">
        <is>
          <t>TT7</t>
        </is>
      </c>
      <c r="G11" s="81" t="inlineStr">
        <is>
          <t>TT8</t>
        </is>
      </c>
      <c r="J11" s="85" t="inlineStr">
        <is>
          <t>Routing</t>
        </is>
      </c>
      <c r="K11" s="81" t="inlineStr">
        <is>
          <t>CT5</t>
        </is>
      </c>
      <c r="L11" s="81" t="inlineStr">
        <is>
          <t>CT6</t>
        </is>
      </c>
      <c r="M11" s="81" t="inlineStr">
        <is>
          <t>CT7</t>
        </is>
      </c>
      <c r="N11" s="81" t="inlineStr">
        <is>
          <t>TT6</t>
        </is>
      </c>
      <c r="O11" s="81" t="inlineStr">
        <is>
          <t>TT7</t>
        </is>
      </c>
      <c r="P11" s="81" t="inlineStr">
        <is>
          <t>TT8</t>
        </is>
      </c>
    </row>
    <row r="12">
      <c r="A12" s="2" t="n">
        <v>-1</v>
      </c>
      <c r="B12" s="2" t="n">
        <v>391</v>
      </c>
      <c r="C12" s="2" t="n">
        <v>61</v>
      </c>
      <c r="D12" s="2" t="n">
        <v>128</v>
      </c>
      <c r="E12" s="2" t="n">
        <v>227</v>
      </c>
      <c r="F12" s="2" t="n">
        <v>95</v>
      </c>
      <c r="G12" s="2" t="n">
        <v>22</v>
      </c>
      <c r="J12" s="6" t="inlineStr">
        <is>
          <t>Schleifen</t>
        </is>
      </c>
      <c r="K12" s="6" t="n">
        <v>13.5</v>
      </c>
      <c r="L12" s="6" t="n">
        <v>13.5</v>
      </c>
      <c r="M12" s="6" t="n">
        <v>13.5</v>
      </c>
      <c r="N12" s="6" t="n">
        <v>13.5</v>
      </c>
      <c r="O12" s="6" t="n">
        <v>13.5</v>
      </c>
      <c r="P12" s="6" t="n">
        <v>13.5</v>
      </c>
    </row>
    <row r="13">
      <c r="A13" s="2" t="n">
        <v>-2</v>
      </c>
      <c r="B13" s="2" t="n">
        <v>366</v>
      </c>
      <c r="C13" s="2" t="n">
        <v>65</v>
      </c>
      <c r="D13" s="2" t="n">
        <v>78</v>
      </c>
      <c r="E13" s="2" t="n">
        <v>215</v>
      </c>
      <c r="F13" s="2" t="n">
        <v>145</v>
      </c>
      <c r="G13" s="2" t="n">
        <v>18</v>
      </c>
      <c r="J13" s="6" t="inlineStr">
        <is>
          <t>Polieren</t>
        </is>
      </c>
      <c r="K13" s="6" t="n">
        <v>5</v>
      </c>
      <c r="L13" s="6" t="n">
        <v>5</v>
      </c>
      <c r="M13" s="6" t="n">
        <v>5</v>
      </c>
      <c r="N13" s="6" t="n">
        <v>5</v>
      </c>
      <c r="O13" s="6" t="n">
        <v>5</v>
      </c>
      <c r="P13" s="6" t="n">
        <v>5</v>
      </c>
    </row>
    <row r="14">
      <c r="A14" s="2" t="n">
        <v>-3</v>
      </c>
      <c r="B14" s="2" t="n">
        <v>402</v>
      </c>
      <c r="C14" s="2" t="n">
        <v>70</v>
      </c>
      <c r="D14" s="2" t="n">
        <v>55</v>
      </c>
      <c r="E14" s="2" t="n">
        <v>333</v>
      </c>
      <c r="F14" s="2" t="n">
        <v>96</v>
      </c>
      <c r="G14" s="2" t="n">
        <v>19</v>
      </c>
      <c r="J14" s="6" t="inlineStr">
        <is>
          <t>Montagewelle</t>
        </is>
      </c>
      <c r="K14" s="6" t="n">
        <v>12</v>
      </c>
      <c r="L14" s="6" t="n">
        <v>12</v>
      </c>
      <c r="M14" s="6" t="n">
        <v>12</v>
      </c>
      <c r="N14" s="6" t="n">
        <v>12</v>
      </c>
      <c r="O14" s="6" t="n">
        <v>12</v>
      </c>
      <c r="P14" s="6" t="n">
        <v>12</v>
      </c>
    </row>
    <row r="15">
      <c r="A15" s="2" t="n">
        <v>-4</v>
      </c>
      <c r="B15" s="2" t="n">
        <v>294</v>
      </c>
      <c r="C15" s="2" t="n">
        <v>54</v>
      </c>
      <c r="D15" s="2" t="n">
        <v>96</v>
      </c>
      <c r="E15" s="2" t="n">
        <v>196</v>
      </c>
      <c r="F15" s="2" t="n">
        <v>121</v>
      </c>
      <c r="G15" s="2" t="n">
        <v>23</v>
      </c>
      <c r="J15" s="133" t="inlineStr">
        <is>
          <t>Fräsen</t>
        </is>
      </c>
      <c r="K15" s="133" t="n">
        <v>10</v>
      </c>
      <c r="L15" s="133" t="n">
        <v>10</v>
      </c>
      <c r="M15" s="133" t="n">
        <v>10</v>
      </c>
      <c r="N15" s="133" t="n">
        <v>10</v>
      </c>
      <c r="O15" s="133" t="n">
        <v>10</v>
      </c>
      <c r="P15" s="133" t="n">
        <v>10</v>
      </c>
    </row>
    <row r="16">
      <c r="A16" s="2" t="n">
        <v>-5</v>
      </c>
      <c r="B16" s="2" t="n">
        <v>359</v>
      </c>
      <c r="C16" s="2" t="n">
        <v>72</v>
      </c>
      <c r="D16" s="2" t="n">
        <v>78</v>
      </c>
      <c r="E16" s="2" t="n">
        <v>310</v>
      </c>
      <c r="F16" s="2" t="n">
        <v>89</v>
      </c>
      <c r="G16" s="2" t="n">
        <v>19</v>
      </c>
      <c r="J16" s="6" t="inlineStr">
        <is>
          <t>Finale Montage</t>
        </is>
      </c>
      <c r="K16" s="6" t="n">
        <v>14</v>
      </c>
      <c r="L16" s="6" t="n">
        <v>20</v>
      </c>
      <c r="M16" s="6" t="n">
        <v>25</v>
      </c>
      <c r="N16" s="6" t="n">
        <v>16</v>
      </c>
      <c r="O16" s="6" t="n">
        <v>25</v>
      </c>
      <c r="P16" s="6" t="n">
        <v>28</v>
      </c>
    </row>
    <row r="17">
      <c r="A17" s="2" t="n">
        <v>-6</v>
      </c>
      <c r="B17" s="2" t="n">
        <v>356</v>
      </c>
      <c r="C17" s="2" t="n">
        <v>71</v>
      </c>
      <c r="D17" s="2" t="n">
        <v>105</v>
      </c>
      <c r="E17" s="2" t="n">
        <v>273</v>
      </c>
      <c r="F17" s="2" t="n">
        <v>101</v>
      </c>
      <c r="G17" s="2" t="n">
        <v>22</v>
      </c>
      <c r="J17" s="37" t="inlineStr">
        <is>
          <t>Qualitätscheck</t>
        </is>
      </c>
      <c r="K17" s="37" t="n">
        <v>4</v>
      </c>
      <c r="L17" s="37" t="n">
        <v>5</v>
      </c>
      <c r="M17" s="37" t="n">
        <v>5</v>
      </c>
      <c r="N17" s="37" t="n">
        <v>5</v>
      </c>
      <c r="O17" s="37" t="n">
        <v>6</v>
      </c>
      <c r="P17" s="37" t="n">
        <v>8</v>
      </c>
    </row>
    <row r="18">
      <c r="A18" s="2" t="n">
        <v>-7</v>
      </c>
      <c r="B18" s="2" t="n">
        <v>324</v>
      </c>
      <c r="C18" s="2" t="n">
        <v>72</v>
      </c>
      <c r="D18" s="2" t="n">
        <v>111</v>
      </c>
      <c r="E18" s="2" t="n">
        <v>338</v>
      </c>
      <c r="F18" s="2" t="n">
        <v>119</v>
      </c>
      <c r="G18" s="2" t="n">
        <v>16</v>
      </c>
      <c r="J18" s="6" t="inlineStr">
        <is>
          <t>Total</t>
        </is>
      </c>
      <c r="K18" s="6">
        <f>SUM(K12:K17)</f>
        <v/>
      </c>
      <c r="L18" s="6">
        <f>SUM(L12:L17)</f>
        <v/>
      </c>
      <c r="M18" s="6">
        <f>SUM(M12:M17)</f>
        <v/>
      </c>
      <c r="N18" s="6">
        <f>SUM(N12:N17)</f>
        <v/>
      </c>
      <c r="O18" s="6">
        <f>SUM(O12:O17)</f>
        <v/>
      </c>
      <c r="P18" s="6">
        <f>SUM(P12:P17)</f>
        <v/>
      </c>
    </row>
    <row r="19">
      <c r="A19" s="2" t="n">
        <v>-8</v>
      </c>
      <c r="B19" s="2" t="n">
        <v>382</v>
      </c>
      <c r="C19" s="2" t="n">
        <v>71</v>
      </c>
      <c r="D19" s="2" t="n">
        <v>100</v>
      </c>
      <c r="E19" s="2" t="n">
        <v>360</v>
      </c>
      <c r="F19" s="2" t="n">
        <v>142</v>
      </c>
      <c r="G19" s="2" t="n">
        <v>15</v>
      </c>
    </row>
    <row r="20">
      <c r="A20" s="2" t="n">
        <v>-9</v>
      </c>
      <c r="B20" s="2" t="n">
        <v>353</v>
      </c>
      <c r="C20" s="2" t="n">
        <v>66</v>
      </c>
      <c r="D20" s="2" t="n">
        <v>140</v>
      </c>
      <c r="E20" s="2" t="n">
        <v>318</v>
      </c>
      <c r="F20" s="2" t="n">
        <v>111</v>
      </c>
      <c r="G20" s="2" t="n">
        <v>20</v>
      </c>
    </row>
    <row r="21">
      <c r="A21" s="2" t="n">
        <v>-10</v>
      </c>
      <c r="B21" s="2" t="n">
        <v>306</v>
      </c>
      <c r="C21" s="2" t="n">
        <v>60</v>
      </c>
      <c r="D21" s="2" t="n">
        <v>33</v>
      </c>
      <c r="E21" s="2" t="n">
        <v>375</v>
      </c>
      <c r="F21" s="2" t="n">
        <v>85</v>
      </c>
      <c r="G21" s="2" t="n">
        <v>11</v>
      </c>
    </row>
    <row r="22">
      <c r="A22" s="2" t="n">
        <v>-11</v>
      </c>
      <c r="B22" s="2" t="n">
        <v>349</v>
      </c>
      <c r="C22" s="2" t="n">
        <v>70</v>
      </c>
      <c r="D22" s="2" t="n">
        <v>135</v>
      </c>
      <c r="E22" s="2" t="n">
        <v>416</v>
      </c>
      <c r="F22" s="2" t="n">
        <v>80</v>
      </c>
      <c r="G22" s="2" t="n">
        <v>23</v>
      </c>
    </row>
    <row r="23" ht="14.65" customHeight="1" s="142" thickBot="1">
      <c r="A23" s="38" t="n">
        <v>-12</v>
      </c>
      <c r="B23" s="38" t="n">
        <v>352</v>
      </c>
      <c r="C23" s="38" t="n">
        <v>69</v>
      </c>
      <c r="D23" s="38" t="n">
        <v>64</v>
      </c>
      <c r="E23" s="38" t="n">
        <v>291</v>
      </c>
      <c r="F23" s="38" t="n">
        <v>164</v>
      </c>
      <c r="G23" s="38" t="n">
        <v>17</v>
      </c>
    </row>
    <row r="24" ht="14.65" customHeight="1" s="142" thickTop="1">
      <c r="A24" s="36" t="inlineStr">
        <is>
          <t>Summe</t>
        </is>
      </c>
      <c r="B24" s="37">
        <f>SUM(B12:B23)</f>
        <v/>
      </c>
      <c r="C24" s="37">
        <f>SUM(C12:C23)</f>
        <v/>
      </c>
      <c r="D24" s="37">
        <f>SUM(D12:D23)</f>
        <v/>
      </c>
      <c r="E24" s="37">
        <f>SUM(E12:E23)</f>
        <v/>
      </c>
      <c r="F24" s="37">
        <f>SUM(F12:F23)</f>
        <v/>
      </c>
      <c r="G24" s="37">
        <f>SUM(G12:G23)</f>
        <v/>
      </c>
    </row>
    <row r="26">
      <c r="J26" t="inlineStr">
        <is>
          <t> </t>
        </is>
      </c>
    </row>
  </sheetData>
  <pageMargins left="0.7" right="0.7" top="0.787401575" bottom="0.7874015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Berkant Kocabay</dc:creator>
  <dcterms:created xsi:type="dcterms:W3CDTF">2025-10-17T14:04:56Z</dcterms:created>
  <dcterms:modified xsi:type="dcterms:W3CDTF">2025-11-23T13:43:35Z</dcterms:modified>
  <cp:lastModifiedBy>Kocabay, Berkant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0x010100848DA5B1E9BCF546AAB28EA24FA470EF</vt:lpwstr>
  </property>
</Properties>
</file>